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ab3ecf97d45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gujian Awal" sheetId="1" r:id="Rb1f5d6dce87147ef"/>
    <x:sheet xmlns:r="http://schemas.openxmlformats.org/officeDocument/2006/relationships" name="Analisis TL" sheetId="2" r:id="Rdadfc37bd6774313"/>
  </x:sheets>
</x:workbook>
</file>

<file path=xl/sharedStrings.xml><?xml version="1.0" encoding="utf-8"?>
<x:sst xmlns:x="http://schemas.openxmlformats.org/spreadsheetml/2006/main">
  <x:si>
    <x:t xml:space="preserve">Data Suhu terhadap Waktu pada Kondisi Awal Sistem Pendingin</x:t>
  </x:si>
  <x:si>
    <x:t xml:space="preserve">Ringkasan Hasil</x:t>
  </x:si>
  <x:si>
    <x:t xml:space="preserve">No.</x:t>
  </x:si>
  <x:si>
    <x:t xml:space="preserve">Waktu (menit)</x:t>
  </x:si>
  <x:si>
    <x:t xml:space="preserve">Suhu Aktual (°C)</x:t>
  </x:si>
  <x:si>
    <x:t xml:space="preserve">Penurunan dari Suhu Awal (°C)</x:t>
  </x:si>
  <x:si>
    <x:t xml:space="preserve">Suhu awal (°C)</x:t>
  </x:si>
  <x:si>
    <x:t xml:space="preserve">Suhu minimum (°C)</x:t>
  </x:si>
  <x:si>
    <x:t xml:space="preserve">Waktu suhu minimum pertama (menit)</x:t>
  </x:si>
  <x:si>
    <x:t xml:space="preserve">Penurunan suhu total (°C)</x:t>
  </x:si>
  <x:si>
    <x:t xml:space="preserve">Laju penurunan rata-rata (°C/menit)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</x:si>
</x:sst>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sz val="12"/>
      <x:name val="Times New Roman"/>
    </x:font>
    <x:font>
      <x:b/>
      <x:sz val="12"/>
      <x:name val="Times New Roman"/>
    </x:font>
    <x:font>
      <x:i/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64D79"/>
      </x:patternFill>
    </x:fill>
    <x:fill>
      <x:patternFill patternType="solid">
        <x:fgColor rgb="FFC55A11"/>
      </x:patternFill>
    </x:fill>
  </x:fills>
  <x:borders count="71">
    <x:border/>
    <x:border/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top style="medium">
        <x:color rgb="FF7F7F7F"/>
      </x:top>
      <x:bottom style="medium">
        <x:color rgb="FF7F7F7F"/>
      </x:bottom>
    </x:border>
    <x:border>
      <x:bottom style="medium">
        <x:color rgb="FF7F7F7F"/>
      </x:bottom>
    </x:border>
    <x:border/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left style="thin">
        <x:color rgb="FFB7C9D6"/>
      </x:lef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right style="thin">
        <x:color rgb="FFB7C9D6"/>
      </x:right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top style="medium">
        <x:color rgb="FF7F7F7F"/>
      </x:top>
      <x:bottom style="medium">
        <x:color rgb="FF7F7F7F"/>
      </x:bottom>
    </x:border>
    <x:border>
      <x:bottom style="medium">
        <x:color rgb="FF7F7F7F"/>
      </x:bottom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41">
    <x:xf numFmtId="0" fontId="0" fillId="0" borderId="0" xfId="0"/>
    <x:xf numFmtId="0" fontId="2" fillId="3" borderId="2" xfId="0" applyFont="1" applyFill="1" applyBorder="1" applyAlignment="1">
      <x:alignment horizontal="center" vertical="center" wrapText="1"/>
    </x:xf>
    <x:xf numFmtId="0" fontId="2" fillId="3" borderId="3" xfId="0" applyFont="1" applyFill="1" applyBorder="1" applyAlignment="1">
      <x:alignment horizontal="center" vertical="center" wrapText="1"/>
    </x:xf>
    <x:xf numFmtId="0" fontId="2" fillId="3" borderId="4" xfId="0" applyFont="1" applyFill="1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2" fontId="0" fillId="0" borderId="7" xfId="0" applyNumberFormat="1" applyBorder="1" applyAlignment="1">
      <x:alignment horizontal="center" vertical="center"/>
    </x:xf>
    <x:xf numFmtId="2" fontId="0" fillId="0" borderId="9" xfId="0" applyNumberFormat="1" applyBorder="1" applyAlignment="1">
      <x:alignment horizontal="center" vertical="center"/>
    </x:xf>
    <x:xf numFmtId="2" fontId="0" fillId="0" borderId="12" xfId="0" applyNumberFormat="1" applyBorder="1" applyAlignment="1">
      <x:alignment horizontal="center" vertical="center"/>
    </x:xf>
    <x:xf numFmtId="0" fontId="4" fillId="3" borderId="13" xfId="0" applyFont="1" applyFill="1" applyBorder="1" applyAlignment="1">
      <x:alignment vertical="center" wrapText="1"/>
    </x:xf>
    <x:xf numFmtId="0" fontId="4" fillId="3" borderId="14" xfId="0" applyFont="1" applyFill="1" applyBorder="1" applyAlignment="1">
      <x:alignment vertical="center" wrapText="1"/>
    </x:xf>
    <x:xf numFmtId="0" fontId="4" fillId="3" borderId="15" xfId="0" applyFont="1" applyFill="1" applyBorder="1" applyAlignment="1">
      <x:alignment vertical="center" wrapText="1"/>
    </x:xf>
    <x:xf numFmtId="2" fontId="0" fillId="0" borderId="7" xfId="0" applyNumberFormat="1" applyBorder="1" applyAlignment="1">
      <x:alignment vertical="center"/>
    </x:xf>
    <x:xf numFmtId="2" fontId="0" fillId="0" borderId="9" xfId="0" applyNumberFormat="1" applyBorder="1" applyAlignment="1">
      <x:alignment vertical="center"/>
    </x:xf>
    <x:xf numFmtId="2" fontId="0" fillId="0" borderId="12" xfId="0" applyNumberFormat="1" applyBorder="1" applyAlignment="1">
      <x:alignment vertical="center"/>
    </x:xf>
    <x:xf numFmtId="1" fontId="0" fillId="0" borderId="9" xfId="0" applyNumberFormat="1" applyBorder="1" applyAlignment="1">
      <x:alignment vertical="center"/>
    </x:xf>
    <x:xf numFmtId="0" fontId="1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5" fillId="0" borderId="16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0" fontId="6" fillId="0" borderId="17" xfId="0" applyFont="1" applyBorder="1" applyAlignment="1">
      <x:alignment horizontal="center" vertical="center" wrapText="1"/>
    </x:xf>
    <x:xf numFmtId="0" fontId="0" fillId="0" borderId="18" xfId="0" applyNumberFormat="1" applyFont="1" applyFill="1" applyBorder="1"/>
    <x:xf numFmtId="0" fontId="2" fillId="3" borderId="19" xfId="0" applyNumberFormat="1" applyFont="1" applyFill="1" applyBorder="1" applyAlignment="1">
      <x:alignment horizontal="center" vertical="center" wrapText="1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2" fillId="3" borderId="21" xfId="0" applyNumberFormat="1" applyFont="1" applyFill="1" applyBorder="1" applyAlignment="1">
      <x:alignment horizontal="center" vertical="center" wrapText="1"/>
    </x:xf>
    <x:xf numFmtId="0" fontId="0" fillId="0" borderId="22" xfId="0" applyNumberFormat="1" applyFont="1" applyFill="1" applyBorder="1" applyAlignment="1">
      <x:alignment horizontal="center" vertical="center"/>
    </x:xf>
    <x:xf numFmtId="0" fontId="0" fillId="0" borderId="23" xfId="0" applyNumberFormat="1" applyFont="1" applyFill="1" applyBorder="1" applyAlignment="1">
      <x:alignment horizontal="center" vertic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18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2" fontId="0" fillId="0" borderId="27" xfId="0" applyNumberFormat="1" applyFont="1" applyFill="1" applyBorder="1" applyAlignment="1">
      <x:alignment horizontal="center" vertical="center"/>
    </x:xf>
    <x:xf numFmtId="2" fontId="0" fillId="0" borderId="28" xfId="0" applyNumberFormat="1" applyFont="1" applyFill="1" applyBorder="1" applyAlignment="1">
      <x:alignment horizontal="center" vertical="center"/>
    </x:xf>
    <x:xf numFmtId="2" fontId="0" fillId="0" borderId="29" xfId="0" applyNumberFormat="1" applyFont="1" applyFill="1" applyBorder="1" applyAlignment="1">
      <x:alignment horizontal="center" vertical="center"/>
    </x:xf>
    <x:xf numFmtId="0" fontId="4" fillId="3" borderId="30" xfId="0" applyNumberFormat="1" applyFont="1" applyFill="1" applyBorder="1" applyAlignment="1">
      <x:alignment vertical="center" wrapText="1"/>
    </x:xf>
    <x:xf numFmtId="0" fontId="4" fillId="3" borderId="31" xfId="0" applyNumberFormat="1" applyFont="1" applyFill="1" applyBorder="1" applyAlignment="1">
      <x:alignment vertical="center" wrapText="1"/>
    </x:xf>
    <x:xf numFmtId="0" fontId="4" fillId="3" borderId="32" xfId="0" applyNumberFormat="1" applyFont="1" applyFill="1" applyBorder="1" applyAlignment="1">
      <x:alignment vertical="center" wrapText="1"/>
    </x:xf>
    <x:xf numFmtId="2" fontId="0" fillId="0" borderId="27" xfId="0" applyNumberFormat="1" applyFont="1" applyFill="1" applyBorder="1" applyAlignment="1">
      <x:alignment vertical="center"/>
    </x:xf>
    <x:xf numFmtId="2" fontId="0" fillId="0" borderId="28" xfId="0" applyNumberFormat="1" applyFont="1" applyFill="1" applyBorder="1" applyAlignment="1">
      <x:alignment vertical="center"/>
    </x:xf>
    <x:xf numFmtId="2" fontId="0" fillId="0" borderId="29" xfId="0" applyNumberFormat="1" applyFont="1" applyFill="1" applyBorder="1" applyAlignment="1">
      <x:alignment vertical="center"/>
    </x:xf>
    <x:xf numFmtId="1" fontId="0" fillId="0" borderId="28" xfId="0" applyNumberFormat="1" applyFont="1" applyFill="1" applyBorder="1" applyAlignment="1">
      <x:alignment vertical="center"/>
    </x:xf>
    <x:xf numFmtId="0" fontId="1" fillId="2" borderId="18" xfId="0" applyNumberFormat="1" applyFont="1" applyFill="1" applyBorder="1" applyAlignment="1">
      <x:alignment horizontal="center" vertical="center"/>
    </x:xf>
    <x:xf numFmtId="0" fontId="3" fillId="2" borderId="18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 wrapText="1"/>
    </x:xf>
    <x:xf numFmtId="0" fontId="6" fillId="0" borderId="18" xfId="0" applyNumberFormat="1" applyFont="1" applyFill="1" applyBorder="1" applyAlignment="1">
      <x:alignment horizontal="center" vertical="center" wrapText="1"/>
    </x:xf>
    <x:xf numFmtId="0" fontId="6" fillId="0" borderId="3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8" xfId="0" applyNumberFormat="1" applyFont="1" applyFill="1" applyBorder="1"/>
    <x:xf numFmtId="0" fontId="1" fillId="4" borderId="18" xfId="0" applyNumberFormat="1" applyFont="1" applyFill="1" applyBorder="1"/>
    <x:xf numFmtId="0" fontId="1" fillId="4" borderId="18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18" xfId="0" applyNumberFormat="1" applyFont="1" applyFill="1" applyBorder="1"/>
    <x:xf numFmtId="0" fontId="7" fillId="0" borderId="1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0" fillId="5" borderId="18" xfId="0" applyNumberFormat="1" applyFont="1" applyFill="1" applyBorder="1"/>
    <x:xf numFmtId="0" fontId="8" fillId="5" borderId="18" xfId="0" applyNumberFormat="1" applyFont="1" applyFill="1" applyBorder="1"/>
    <x:xf numFmtId="0" fontId="8" fillId="5" borderId="18" xfId="0" applyNumberFormat="1" applyFont="1" applyFill="1" applyBorder="1" applyAlignment="1">
      <x:alignment horizontal="center"/>
    </x:xf>
    <x:xf numFmtId="0" fontId="8" fillId="5" borderId="35" xfId="0" applyNumberFormat="1" applyFont="1" applyFill="1" applyBorder="1" applyAlignment="1">
      <x:alignment horizontal="center"/>
    </x:xf>
    <x:xf numFmtId="0" fontId="8" fillId="5" borderId="36" xfId="0" applyNumberFormat="1" applyFont="1" applyFill="1" applyBorder="1" applyAlignment="1">
      <x:alignment horizontal="center"/>
    </x:xf>
    <x:xf numFmtId="0" fontId="8" fillId="5" borderId="37" xfId="0" applyNumberFormat="1" applyFont="1" applyFill="1" applyBorder="1" applyAlignment="1">
      <x:alignment horizontal="center"/>
    </x:xf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8" fillId="5" borderId="44" xfId="0" applyNumberFormat="1" applyFont="1" applyFill="1" applyBorder="1" applyAlignment="1">
      <x:alignment horizontal="center"/>
    </x:xf>
    <x:xf numFmtId="0" fontId="8" fillId="5" borderId="45" xfId="0" applyNumberFormat="1" applyFont="1" applyFill="1" applyBorder="1" applyAlignment="1">
      <x:alignment horizontal="center"/>
    </x:xf>
    <x:xf numFmtId="0" fontId="8" fillId="5" borderId="46" xfId="0" applyNumberFormat="1" applyFont="1" applyFill="1" applyBorder="1" applyAlignment="1">
      <x:alignment horizontal="center"/>
    </x:xf>
    <x:xf numFmtId="0" fontId="0" fillId="0" borderId="47" xfId="0" applyNumberFormat="1" applyFont="1" applyFill="1" applyBorder="1"/>
    <x:xf numFmtId="0" fontId="0" fillId="0" borderId="48" xfId="0" applyNumberFormat="1" applyFont="1" applyFill="1" applyBorder="1"/>
    <x:xf numFmtId="0" fontId="0" fillId="0" borderId="49" xfId="0" applyNumberFormat="1" applyFont="1" applyFill="1" applyBorder="1"/>
    <x:xf numFmtId="0" fontId="0" fillId="0" borderId="50" xfId="0" applyNumberFormat="1" applyFont="1" applyFill="1" applyBorder="1"/>
    <x:xf numFmtId="0" fontId="0" fillId="0" borderId="51" xfId="0" applyNumberFormat="1" applyFont="1" applyFill="1" applyBorder="1"/>
    <x:xf numFmtId="0" fontId="0" fillId="0" borderId="52" xfId="0" applyNumberFormat="1" applyFont="1" applyFill="1" applyBorder="1"/>
    <x:xf numFmtId="0" fontId="4" fillId="0" borderId="38" xfId="0" applyNumberFormat="1" applyFont="1" applyFill="1" applyBorder="1"/>
    <x:xf numFmtId="0" fontId="4" fillId="0" borderId="41" xfId="0" applyNumberFormat="1" applyFont="1" applyFill="1" applyBorder="1"/>
    <x:xf numFmtId="0" fontId="4" fillId="0" borderId="47" xfId="0" applyNumberFormat="1" applyFont="1" applyFill="1" applyBorder="1"/>
    <x:xf numFmtId="0" fontId="4" fillId="0" borderId="50" xfId="0" applyNumberFormat="1" applyFont="1" applyFill="1" applyBorder="1"/>
    <x:xf numFmtId="200" fontId="0" fillId="0" borderId="39" xfId="0" applyNumberFormat="1" applyFont="1" applyFill="1" applyBorder="1"/>
    <x:xf numFmtId="200" fontId="0" fillId="0" borderId="42" xfId="0" applyNumberFormat="1" applyFont="1" applyFill="1" applyBorder="1"/>
    <x:xf numFmtId="200" fontId="0" fillId="0" borderId="48" xfId="0" applyNumberFormat="1" applyFont="1" applyFill="1" applyBorder="1"/>
    <x:xf numFmtId="200" fontId="0" fillId="0" borderId="51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0" fontId="1" fillId="4" borderId="18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0" fillId="6" borderId="18" xfId="0" applyNumberFormat="1" applyFont="1" applyFill="1" applyBorder="1"/>
    <x:xf numFmtId="0" fontId="8" fillId="6" borderId="18" xfId="0" applyNumberFormat="1" applyFont="1" applyFill="1" applyBorder="1"/>
    <x:xf numFmtId="0" fontId="8" fillId="6" borderId="18" xfId="0" applyNumberFormat="1" applyFont="1" applyFill="1" applyBorder="1" applyAlignment="1">
      <x:alignment horizontal="center"/>
    </x:xf>
    <x:xf numFmtId="0" fontId="8" fillId="6" borderId="53" xfId="0" applyNumberFormat="1" applyFont="1" applyFill="1" applyBorder="1" applyAlignment="1">
      <x:alignment horizontal="center"/>
    </x:xf>
    <x:xf numFmtId="0" fontId="8" fillId="6" borderId="54" xfId="0" applyNumberFormat="1" applyFont="1" applyFill="1" applyBorder="1" applyAlignment="1">
      <x:alignment horizontal="center"/>
    </x:xf>
    <x:xf numFmtId="0" fontId="8" fillId="6" borderId="55" xfId="0" applyNumberFormat="1" applyFont="1" applyFill="1" applyBorder="1" applyAlignment="1">
      <x:alignment horizontal="center"/>
    </x:xf>
    <x:xf numFmtId="0" fontId="0" fillId="0" borderId="56" xfId="0" applyNumberFormat="1" applyFont="1" applyFill="1" applyBorder="1"/>
    <x:xf numFmtId="0" fontId="0" fillId="0" borderId="57" xfId="0" applyNumberFormat="1" applyFont="1" applyFill="1" applyBorder="1"/>
    <x:xf numFmtId="0" fontId="0" fillId="0" borderId="58" xfId="0" applyNumberFormat="1" applyFont="1" applyFill="1" applyBorder="1"/>
    <x:xf numFmtId="0" fontId="0" fillId="0" borderId="59" xfId="0" applyNumberFormat="1" applyFont="1" applyFill="1" applyBorder="1"/>
    <x:xf numFmtId="0" fontId="0" fillId="0" borderId="60" xfId="0" applyNumberFormat="1" applyFont="1" applyFill="1" applyBorder="1"/>
    <x:xf numFmtId="0" fontId="0" fillId="0" borderId="61" xfId="0" applyNumberFormat="1" applyFont="1" applyFill="1" applyBorder="1"/>
    <x:xf numFmtId="0" fontId="8" fillId="6" borderId="62" xfId="0" applyNumberFormat="1" applyFont="1" applyFill="1" applyBorder="1" applyAlignment="1">
      <x:alignment horizontal="center"/>
    </x:xf>
    <x:xf numFmtId="0" fontId="8" fillId="6" borderId="63" xfId="0" applyNumberFormat="1" applyFont="1" applyFill="1" applyBorder="1" applyAlignment="1">
      <x:alignment horizontal="center"/>
    </x:xf>
    <x:xf numFmtId="0" fontId="8" fillId="6" borderId="64" xfId="0" applyNumberFormat="1" applyFont="1" applyFill="1" applyBorder="1" applyAlignment="1">
      <x:alignment horizontal="center"/>
    </x:xf>
    <x:xf numFmtId="0" fontId="0" fillId="0" borderId="65" xfId="0" applyNumberFormat="1" applyFont="1" applyFill="1" applyBorder="1"/>
    <x:xf numFmtId="0" fontId="0" fillId="0" borderId="66" xfId="0" applyNumberFormat="1" applyFont="1" applyFill="1" applyBorder="1"/>
    <x:xf numFmtId="0" fontId="0" fillId="0" borderId="67" xfId="0" applyNumberFormat="1" applyFont="1" applyFill="1" applyBorder="1"/>
    <x:xf numFmtId="0" fontId="0" fillId="0" borderId="68" xfId="0" applyNumberFormat="1" applyFont="1" applyFill="1" applyBorder="1"/>
    <x:xf numFmtId="0" fontId="0" fillId="0" borderId="69" xfId="0" applyNumberFormat="1" applyFont="1" applyFill="1" applyBorder="1"/>
    <x:xf numFmtId="0" fontId="0" fillId="0" borderId="70" xfId="0" applyNumberFormat="1" applyFont="1" applyFill="1" applyBorder="1"/>
    <x:xf numFmtId="200" fontId="0" fillId="0" borderId="57" xfId="0" applyNumberFormat="1" applyFont="1" applyFill="1" applyBorder="1"/>
    <x:xf numFmtId="200" fontId="0" fillId="0" borderId="58" xfId="0" applyNumberFormat="1" applyFont="1" applyFill="1" applyBorder="1"/>
    <x:xf numFmtId="200" fontId="0" fillId="0" borderId="60" xfId="0" applyNumberFormat="1" applyFont="1" applyFill="1" applyBorder="1"/>
    <x:xf numFmtId="200" fontId="0" fillId="0" borderId="61" xfId="0" applyNumberFormat="1" applyFont="1" applyFill="1" applyBorder="1"/>
    <x:xf numFmtId="200" fontId="0" fillId="0" borderId="66" xfId="0" applyNumberFormat="1" applyFont="1" applyFill="1" applyBorder="1"/>
    <x:xf numFmtId="200" fontId="0" fillId="0" borderId="67" xfId="0" applyNumberFormat="1" applyFont="1" applyFill="1" applyBorder="1"/>
    <x:xf numFmtId="200" fontId="0" fillId="0" borderId="69" xfId="0" applyNumberFormat="1" applyFont="1" applyFill="1" applyBorder="1"/>
    <x:xf numFmtId="200" fontId="0" fillId="0" borderId="7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0" fillId="7" borderId="18" xfId="0" applyNumberFormat="1" applyFont="1" applyFill="1" applyBorder="1"/>
    <x:xf numFmtId="0" fontId="8" fillId="7" borderId="18" xfId="0" applyNumberFormat="1" applyFont="1" applyFill="1" applyBorder="1"/>
    <x:xf numFmtId="0" fontId="8" fillId="7" borderId="18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8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/>
    </x:xf>
    <x:xf numFmtId="0" fontId="0" fillId="8" borderId="18" xfId="0" applyNumberFormat="1" applyFont="1" applyFill="1" applyBorder="1"/>
    <x:xf numFmtId="0" fontId="8" fillId="8" borderId="18" xfId="0" applyNumberFormat="1" applyFont="1" applyFill="1" applyBorder="1"/>
    <x:xf numFmtId="0" fontId="8" fillId="8" borderId="18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acc88d0554476" /><Relationship Type="http://schemas.openxmlformats.org/officeDocument/2006/relationships/theme" Target="/xl/theme/theme1.xml" Id="R8e038c1436ed4594" /><Relationship Type="http://schemas.openxmlformats.org/officeDocument/2006/relationships/sharedStrings" Target="/xl/sharedStrings.xml" Id="Rc45df01f486c42c0" /><Relationship Type="http://schemas.openxmlformats.org/officeDocument/2006/relationships/worksheet" Target="/xl/worksheets/sheet1.xml" Id="Rb1f5d6dce87147ef" /><Relationship Type="http://schemas.openxmlformats.org/officeDocument/2006/relationships/worksheet" Target="/xl/worksheets/sheet2.xml" Id="Rdadfc37bd67743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94cb0a8f0147f7" /><Relationship Type="http://schemas.openxmlformats.org/officeDocument/2006/relationships/chart" Target="/xl/drawings/charts/chart2.xml" Id="R264e269e5d0a4c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2335465d1764c54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Grafik Perubahan Suhu terhadap Waktu pada Kondisi Awal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Suhu Aktual (°C)</c:v>
          </c:tx>
          <c:spPr>
            <a:ln xmlns:a="http://schemas.openxmlformats.org/drawingml/2006/main" w="38100" cmpd="dbl">
              <a:solidFill>
                <a:schemeClr val="accent3"/>
              </a:solidFill>
            </a:ln>
          </c:spPr>
          <c:marker>
            <c:symbol val="circle"/>
            <c:size val="6"/>
          </c:marker>
          <c:cat>
            <c:numRef>
              <c:f>'Pengujian Awal'!$B$4:$B$16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cat>
          <c:val>
            <c:numRef>
              <c:f>'Pengujian Awal'!$C$4:$C$16</c:f>
              <c:numCache>
                <c:formatCode>General</c:formatCode>
                <c:ptCount val="13"/>
                <c:pt idx="0">
                  <c:v>25.69</c:v>
                </c:pt>
                <c:pt idx="1">
                  <c:v>12.05</c:v>
                </c:pt>
                <c:pt idx="2">
                  <c:v>9.33</c:v>
                </c:pt>
                <c:pt idx="3">
                  <c:v>7.53</c:v>
                </c:pt>
                <c:pt idx="4">
                  <c:v>6.8</c:v>
                </c:pt>
                <c:pt idx="5">
                  <c:v>6.4</c:v>
                </c:pt>
                <c:pt idx="6">
                  <c:v>5.73</c:v>
                </c:pt>
                <c:pt idx="7">
                  <c:v>4.87</c:v>
                </c:pt>
                <c:pt idx="8">
                  <c:v>4.47</c:v>
                </c:pt>
                <c:pt idx="9">
                  <c:v>4.27</c:v>
                </c:pt>
                <c:pt idx="10">
                  <c:v>4.27</c:v>
                </c:pt>
                <c:pt idx="11">
                  <c:v>4.27</c:v>
                </c:pt>
                <c:pt idx="12">
                  <c:v>4.27</c:v>
                </c:pt>
              </c:numCache>
            </c:numRef>
          </c:val>
          <c:smooth val="0"/>
        </c:ser>
        <c:ser>
          <c:idx val="1"/>
          <c:order val="1"/>
          <c:tx>
            <c:v>Suhu Aktual (°C)</c:v>
          </c:tx>
          <c:spPr>
            <a:ln xmlns:a="http://schemas.openxmlformats.org/drawingml/2006/main" w="38100" cmpd="dbl">
              <a:solidFill>
                <a:schemeClr val="accent4"/>
              </a:solidFill>
            </a:ln>
          </c:spPr>
          <c:marker>
            <c:symbol val="circle"/>
            <c:size val="6"/>
          </c:marker>
          <c:cat>
            <c:numRef>
              <c:f>'Pengujian Awal'!$B$4:$B$16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cat>
          <c:val>
            <c:numRef>
              <c:f>'Pengujian Awal'!$C$4:$C$16</c:f>
              <c:numCache>
                <c:formatCode>General</c:formatCode>
                <c:ptCount val="13"/>
                <c:pt idx="0">
                  <c:v>25.69</c:v>
                </c:pt>
                <c:pt idx="1">
                  <c:v>12.05</c:v>
                </c:pt>
                <c:pt idx="2">
                  <c:v>9.33</c:v>
                </c:pt>
                <c:pt idx="3">
                  <c:v>7.53</c:v>
                </c:pt>
                <c:pt idx="4">
                  <c:v>6.8</c:v>
                </c:pt>
                <c:pt idx="5">
                  <c:v>6.4</c:v>
                </c:pt>
                <c:pt idx="6">
                  <c:v>5.73</c:v>
                </c:pt>
                <c:pt idx="7">
                  <c:v>4.87</c:v>
                </c:pt>
                <c:pt idx="8">
                  <c:v>4.47</c:v>
                </c:pt>
                <c:pt idx="9">
                  <c:v>4.27</c:v>
                </c:pt>
                <c:pt idx="10">
                  <c:v>4.27</c:v>
                </c:pt>
                <c:pt idx="11">
                  <c:v>4.27</c:v>
                </c:pt>
                <c:pt idx="12">
                  <c:v>4.27</c:v>
                </c:pt>
              </c:numCache>
            </c:numRef>
          </c:val>
          <c:smooth val="0"/>
        </c:ser>
        <c:ser>
          <c:idx val="2"/>
          <c:order val="2"/>
          <c:tx>
            <c:v>Suhu Aktual (°C)</c:v>
          </c:tx>
          <c:spPr>
            <a:ln xmlns:a="http://schemas.openxmlformats.org/drawingml/2006/main" w="38100" cmpd="dbl">
              <a:solidFill>
                <a:schemeClr val="accent2"/>
              </a:solidFill>
            </a:ln>
          </c:spPr>
          <c:marker>
            <c:symbol val="circle"/>
            <c:size val="6"/>
          </c:marker>
          <c:cat>
            <c:numRef>
              <c:f>'Pengujian Awal'!$B$4:$B$16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cat>
          <c:val>
            <c:numRef>
              <c:f>'Pengujian Awal'!$C$4:$C$16</c:f>
              <c:numCache>
                <c:formatCode>General</c:formatCode>
                <c:ptCount val="13"/>
                <c:pt idx="0">
                  <c:v>25.69</c:v>
                </c:pt>
                <c:pt idx="1">
                  <c:v>12.05</c:v>
                </c:pt>
                <c:pt idx="2">
                  <c:v>9.33</c:v>
                </c:pt>
                <c:pt idx="3">
                  <c:v>7.53</c:v>
                </c:pt>
                <c:pt idx="4">
                  <c:v>6.8</c:v>
                </c:pt>
                <c:pt idx="5">
                  <c:v>6.4</c:v>
                </c:pt>
                <c:pt idx="6">
                  <c:v>5.73</c:v>
                </c:pt>
                <c:pt idx="7">
                  <c:v>4.87</c:v>
                </c:pt>
                <c:pt idx="8">
                  <c:v>4.47</c:v>
                </c:pt>
                <c:pt idx="9">
                  <c:v>4.27</c:v>
                </c:pt>
                <c:pt idx="10">
                  <c:v>4.27</c:v>
                </c:pt>
                <c:pt idx="11">
                  <c:v>4.27</c:v>
                </c:pt>
                <c:pt idx="12">
                  <c:v>4.27</c:v>
                </c:pt>
              </c:numCache>
            </c:numRef>
          </c:val>
          <c:smooth val="0"/>
        </c:ser>
        <c:ser>
          <c:idx val="3"/>
          <c:order val="3"/>
          <c:tx>
            <c:v>Suhu Aktual (°C)</c:v>
          </c:tx>
          <c:spPr>
            <a:ln xmlns:a="http://schemas.openxmlformats.org/drawingml/2006/main" w="38100" cmpd="dbl">
              <a:solidFill>
                <a:schemeClr val="accent1"/>
              </a:solidFill>
            </a:ln>
          </c:spPr>
          <c:marker>
            <c:symbol val="circle"/>
            <c:size val="6"/>
          </c:marker>
          <c:cat>
            <c:numRef>
              <c:f>'Pengujian Awal'!$B$4:$B$16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cat>
          <c:val>
            <c:numRef>
              <c:f>'Pengujian Awal'!$C$4:$C$16</c:f>
              <c:numCache>
                <c:formatCode>General</c:formatCode>
                <c:ptCount val="13"/>
                <c:pt idx="0">
                  <c:v>25.69</c:v>
                </c:pt>
                <c:pt idx="1">
                  <c:v>12.05</c:v>
                </c:pt>
                <c:pt idx="2">
                  <c:v>9.33</c:v>
                </c:pt>
                <c:pt idx="3">
                  <c:v>7.53</c:v>
                </c:pt>
                <c:pt idx="4">
                  <c:v>6.8</c:v>
                </c:pt>
                <c:pt idx="5">
                  <c:v>6.4</c:v>
                </c:pt>
                <c:pt idx="6">
                  <c:v>5.73</c:v>
                </c:pt>
                <c:pt idx="7">
                  <c:v>4.87</c:v>
                </c:pt>
                <c:pt idx="8">
                  <c:v>4.47</c:v>
                </c:pt>
                <c:pt idx="9">
                  <c:v>4.27</c:v>
                </c:pt>
                <c:pt idx="10">
                  <c:v>4.27</c:v>
                </c:pt>
                <c:pt idx="11">
                  <c:v>4.27</c:v>
                </c:pt>
                <c:pt idx="12">
                  <c:v>4.27</c:v>
                </c:pt>
              </c:numCache>
            </c:numRef>
          </c:val>
          <c:smooth val="0"/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  <a:alpha val="32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Waktu (menit)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317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  <a:alpha val="32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Suhu Aktual (°C)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 xmlns:a="http://schemas.openxmlformats.org/drawingml/2006/main" w="317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Grafik Perubahan Suhu terhadap Waktu pada Kondisi Awal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Suhu Aktual (°C)</c:v>
          </c:tx>
          <c:spPr>
            <a:ln xmlns:a="http://schemas.openxmlformats.org/drawingml/2006/main" w="38100" cmpd="dbl">
              <a:solidFill>
                <a:schemeClr val="accent3"/>
              </a:solidFill>
            </a:ln>
          </c:spPr>
          <c:marker>
            <c:symbol val="none"/>
          </c:marker>
          <c:cat>
            <c:numRef>
              <c:f>'Pengujian Awal'!$B$4:$B$16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cat>
          <c:val>
            <c:numRef>
              <c:f>'Pengujian Awal'!$C$4:$C$16</c:f>
              <c:numCache>
                <c:formatCode>General</c:formatCode>
                <c:ptCount val="13"/>
                <c:pt idx="0">
                  <c:v>25.69</c:v>
                </c:pt>
                <c:pt idx="1">
                  <c:v>12.05</c:v>
                </c:pt>
                <c:pt idx="2">
                  <c:v>9.33</c:v>
                </c:pt>
                <c:pt idx="3">
                  <c:v>7.53</c:v>
                </c:pt>
                <c:pt idx="4">
                  <c:v>6.8</c:v>
                </c:pt>
                <c:pt idx="5">
                  <c:v>6.4</c:v>
                </c:pt>
                <c:pt idx="6">
                  <c:v>5.73</c:v>
                </c:pt>
                <c:pt idx="7">
                  <c:v>4.87</c:v>
                </c:pt>
                <c:pt idx="8">
                  <c:v>4.47</c:v>
                </c:pt>
                <c:pt idx="9">
                  <c:v>4.27</c:v>
                </c:pt>
                <c:pt idx="10">
                  <c:v>4.27</c:v>
                </c:pt>
                <c:pt idx="11">
                  <c:v>4.27</c:v>
                </c:pt>
                <c:pt idx="12">
                  <c:v>4.27</c:v>
                </c:pt>
              </c:numCache>
            </c:numRef>
          </c:val>
          <c:smooth val="0"/>
        </c:ser>
        <c:ser>
          <c:idx val="1"/>
          <c:order val="1"/>
          <c:tx>
            <c:v>Suhu Aktual (°C)</c:v>
          </c:tx>
          <c:spPr>
            <a:ln xmlns:a="http://schemas.openxmlformats.org/drawingml/2006/main" w="38100" cmpd="dbl">
              <a:solidFill>
                <a:schemeClr val="accent4"/>
              </a:solidFill>
            </a:ln>
          </c:spPr>
          <c:marker>
            <c:symbol val="none"/>
          </c:marker>
          <c:cat>
            <c:numRef>
              <c:f>'Pengujian Awal'!$B$4:$B$16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cat>
          <c:val>
            <c:numRef>
              <c:f>'Pengujian Awal'!$C$4:$C$16</c:f>
              <c:numCache>
                <c:formatCode>General</c:formatCode>
                <c:ptCount val="13"/>
                <c:pt idx="0">
                  <c:v>25.69</c:v>
                </c:pt>
                <c:pt idx="1">
                  <c:v>12.05</c:v>
                </c:pt>
                <c:pt idx="2">
                  <c:v>9.33</c:v>
                </c:pt>
                <c:pt idx="3">
                  <c:v>7.53</c:v>
                </c:pt>
                <c:pt idx="4">
                  <c:v>6.8</c:v>
                </c:pt>
                <c:pt idx="5">
                  <c:v>6.4</c:v>
                </c:pt>
                <c:pt idx="6">
                  <c:v>5.73</c:v>
                </c:pt>
                <c:pt idx="7">
                  <c:v>4.87</c:v>
                </c:pt>
                <c:pt idx="8">
                  <c:v>4.47</c:v>
                </c:pt>
                <c:pt idx="9">
                  <c:v>4.27</c:v>
                </c:pt>
                <c:pt idx="10">
                  <c:v>4.27</c:v>
                </c:pt>
                <c:pt idx="11">
                  <c:v>4.27</c:v>
                </c:pt>
                <c:pt idx="12">
                  <c:v>4.27</c:v>
                </c:pt>
              </c:numCache>
            </c:numRef>
          </c:val>
          <c:smooth val="0"/>
        </c:ser>
        <c:ser>
          <c:idx val="2"/>
          <c:order val="2"/>
          <c:tx>
            <c:v>Suhu Aktual (°C)</c:v>
          </c:tx>
          <c:spPr>
            <a:ln xmlns:a="http://schemas.openxmlformats.org/drawingml/2006/main" w="38100" cmpd="dbl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'Pengujian Awal'!$B$4:$B$16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cat>
          <c:val>
            <c:numRef>
              <c:f>'Pengujian Awal'!$C$4:$C$16</c:f>
              <c:numCache>
                <c:formatCode>General</c:formatCode>
                <c:ptCount val="13"/>
                <c:pt idx="0">
                  <c:v>25.69</c:v>
                </c:pt>
                <c:pt idx="1">
                  <c:v>12.05</c:v>
                </c:pt>
                <c:pt idx="2">
                  <c:v>9.33</c:v>
                </c:pt>
                <c:pt idx="3">
                  <c:v>7.53</c:v>
                </c:pt>
                <c:pt idx="4">
                  <c:v>6.8</c:v>
                </c:pt>
                <c:pt idx="5">
                  <c:v>6.4</c:v>
                </c:pt>
                <c:pt idx="6">
                  <c:v>5.73</c:v>
                </c:pt>
                <c:pt idx="7">
                  <c:v>4.87</c:v>
                </c:pt>
                <c:pt idx="8">
                  <c:v>4.47</c:v>
                </c:pt>
                <c:pt idx="9">
                  <c:v>4.27</c:v>
                </c:pt>
                <c:pt idx="10">
                  <c:v>4.27</c:v>
                </c:pt>
                <c:pt idx="11">
                  <c:v>4.27</c:v>
                </c:pt>
                <c:pt idx="12">
                  <c:v>4.27</c:v>
                </c:pt>
              </c:numCache>
            </c:numRef>
          </c:val>
          <c:smooth val="0"/>
        </c:ser>
        <c:ser>
          <c:idx val="3"/>
          <c:order val="3"/>
          <c:tx>
            <c:v>Suhu Aktual (°C)</c:v>
          </c:tx>
          <c:spPr>
            <a:ln xmlns:a="http://schemas.openxmlformats.org/drawingml/2006/main" w="38100" cmpd="dbl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'Pengujian Awal'!$B$4:$B$16</c:f>
              <c:numCache>
                <c:formatCode>General</c:formatCode>
                <c:ptCount val="1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</c:numCache>
            </c:numRef>
          </c:cat>
          <c:val>
            <c:numRef>
              <c:f>'Pengujian Awal'!$C$4:$C$16</c:f>
              <c:numCache>
                <c:formatCode>General</c:formatCode>
                <c:ptCount val="13"/>
                <c:pt idx="0">
                  <c:v>25.69</c:v>
                </c:pt>
                <c:pt idx="1">
                  <c:v>12.05</c:v>
                </c:pt>
                <c:pt idx="2">
                  <c:v>9.33</c:v>
                </c:pt>
                <c:pt idx="3">
                  <c:v>7.53</c:v>
                </c:pt>
                <c:pt idx="4">
                  <c:v>6.8</c:v>
                </c:pt>
                <c:pt idx="5">
                  <c:v>6.4</c:v>
                </c:pt>
                <c:pt idx="6">
                  <c:v>5.73</c:v>
                </c:pt>
                <c:pt idx="7">
                  <c:v>4.87</c:v>
                </c:pt>
                <c:pt idx="8">
                  <c:v>4.47</c:v>
                </c:pt>
                <c:pt idx="9">
                  <c:v>4.27</c:v>
                </c:pt>
                <c:pt idx="10">
                  <c:v>4.27</c:v>
                </c:pt>
                <c:pt idx="11">
                  <c:v>4.27</c:v>
                </c:pt>
                <c:pt idx="12">
                  <c:v>4.27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  <a:alpha val="32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Waktu (menit)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 w="317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  <a:alpha val="32000"/>
                </a:schemeClr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Suhu Aktual (°C)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 xmlns:a="http://schemas.openxmlformats.org/drawingml/2006/main" w="317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Garis Singgung Metode T-L pada Respons Suhu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Suhu aktual interpolasi (°C)</c:v>
          </c:tx>
          <c:cat>
            <c:strRef>
              <c:f>'Analisis TL'!$G$28:$G$148</c:f>
              <c:strCache>
                <c:ptCount val="0"/>
              </c:strCache>
            </c:strRef>
          </c:cat>
          <c:val>
            <c:numRef>
              <c:f>'Analisis TL'!$H$28:$H$148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Garis singgung (°C)</c:v>
          </c:tx>
          <c:cat>
            <c:strRef>
              <c:f>'Analisis TL'!$G$28:$G$148</c:f>
              <c:strCache>
                <c:ptCount val="0"/>
              </c:strCache>
            </c:strRef>
          </c:cat>
          <c:val>
            <c:numRef>
              <c:f>'Analisis TL'!$I$28:$I$148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Suhu awal (°C)</c:v>
          </c:tx>
          <c:cat>
            <c:strRef>
              <c:f>'Analisis TL'!$G$28:$G$148</c:f>
              <c:strCache>
                <c:ptCount val="0"/>
              </c:strCache>
            </c:strRef>
          </c:cat>
          <c:val>
            <c:numRef>
              <c:f>'Analisis TL'!$J$28:$J$148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Suhu akhir (°C)</c:v>
          </c:tx>
          <c:cat>
            <c:strRef>
              <c:f>'Analisis TL'!$G$28:$G$148</c:f>
              <c:strCache>
                <c:ptCount val="0"/>
              </c:strCache>
            </c:strRef>
          </c:cat>
          <c:val>
            <c:numRef>
              <c:f>'Analisis TL'!$K$28:$K$148</c:f>
              <c:numCache>
                <c:formatCode>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Waktu (menit)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Suhu (°C)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366179</xdr:colOff>
      <xdr:row>10</xdr:row>
      <xdr:rowOff>30531</xdr:rowOff>
    </xdr:from>
    <xdr:to>
      <xdr:col>18</xdr:col>
      <xdr:colOff>188148</xdr:colOff>
      <xdr:row>29</xdr:row>
      <xdr:rowOff>30530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94cb0a8f0147f7"/>
        </a:graphicData>
      </a:graphic>
    </xdr:graphicFrame>
    <xdr:clientData/>
  </xdr:twoCellAnchor>
  <xdr:twoCellAnchor>
    <xdr:from>
      <xdr:col>0</xdr:col>
      <xdr:colOff>295912</xdr:colOff>
      <xdr:row>21</xdr:row>
      <xdr:rowOff>19083</xdr:rowOff>
    </xdr:from>
    <xdr:to>
      <xdr:col>6</xdr:col>
      <xdr:colOff>62463</xdr:colOff>
      <xdr:row>44</xdr:row>
      <xdr:rowOff>112889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4e269e5d0a4c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335465d1764c5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14a2453c2a48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3e047561ab94a3f" /></Relationships>
</file>

<file path=xl/worksheets/sheet1.xml><?xml version="1.0" encoding="utf-8"?>
<x:worksheet xmlns:x="http://schemas.openxmlformats.org/spreadsheetml/2006/main">
  <x:sheetFormatPr defaultRowHeight="13.800000190734863"/>
  <x:cols>
    <x:col min="1" max="1" width="8" customWidth="1"/>
    <x:col min="2" max="2" width="16" customWidth="1"/>
    <x:col min="3" max="3" width="18" customWidth="1"/>
    <x:col min="4" max="4" width="28" customWidth="1"/>
    <x:col min="6" max="6" width="34" customWidth="1"/>
    <x:col min="7" max="7" width="16" customWidth="1"/>
  </x:cols>
  <x:sheetData>
    <x:row r="1" ht="22.350000381469727" customHeight="1">
      <x:c r="A1" s="20" t="s">
        <x:v>0</x:v>
      </x:c>
      <x:c r="B1" s="20"/>
      <x:c r="C1" s="20"/>
      <x:c r="D1" s="20"/>
      <x:c r="F1" s="21" t="s">
        <x:v>1</x:v>
      </x:c>
      <x:c r="G1" s="21"/>
    </x:row>
    <x:row r="3" ht="28.200000762939453">
      <x:c r="A3" s="1" t="s">
        <x:v>2</x:v>
      </x:c>
      <x:c r="B3" s="2" t="s">
        <x:v>3</x:v>
      </x:c>
      <x:c r="C3" s="2" t="s">
        <x:v>4</x:v>
      </x:c>
      <x:c r="D3" s="3" t="s">
        <x:v>5</x:v>
      </x:c>
      <x:c r="F3" s="13" t="s">
        <x:v>6</x:v>
      </x:c>
      <x:c r="G3" s="16" t="n">
        <x:f>C4</x:f>
        <x:v>25.69</x:v>
      </x:c>
    </x:row>
    <x:row r="4" ht="16.200000762939453">
      <x:c r="A4" s="4">
        <x:v>1</x:v>
      </x:c>
      <x:c r="B4" s="5">
        <x:v>0</x:v>
      </x:c>
      <x:c r="C4" s="22">
        <x:v>25.69</x:v>
      </x:c>
      <x:c r="D4" s="10" t="n">
        <x:f t="shared" ref="D4:D16" si="0">$C$4-C4</x:f>
        <x:v>0</x:v>
      </x:c>
      <x:c r="F4" s="14" t="s">
        <x:v>7</x:v>
      </x:c>
      <x:c r="G4" s="17" t="n">
        <x:f>MIN(C4:C16)</x:f>
        <x:v>4.27</x:v>
      </x:c>
    </x:row>
    <x:row r="5" ht="27.600000381469727">
      <x:c r="A5" s="6">
        <x:v>2</x:v>
      </x:c>
      <x:c r="B5" s="7">
        <x:v>10</x:v>
      </x:c>
      <x:c r="C5" s="23">
        <x:v>12.05</x:v>
      </x:c>
      <x:c r="D5" s="11">
        <x:f t="shared" si="0"/>
        <x:v>13.64</x:v>
      </x:c>
      <x:c r="F5" s="14" t="s">
        <x:v>8</x:v>
      </x:c>
      <x:c r="G5" s="19" t="n">
        <x:f>INDEX(B4:B16,MATCH(G4,C4:C16,0))</x:f>
        <x:v>90</x:v>
      </x:c>
    </x:row>
    <x:row r="6" ht="15.600000381469727">
      <x:c r="A6" s="6">
        <x:v>3</x:v>
      </x:c>
      <x:c r="B6" s="7">
        <x:v>20</x:v>
      </x:c>
      <x:c r="C6" s="23">
        <x:v>9.33</x:v>
      </x:c>
      <x:c r="D6" s="11">
        <x:f t="shared" si="0"/>
        <x:v>16.36</x:v>
      </x:c>
      <x:c r="F6" s="14" t="s">
        <x:v>9</x:v>
      </x:c>
      <x:c r="G6" s="17" t="n">
        <x:f>G3-G4</x:f>
        <x:v>21.42</x:v>
      </x:c>
    </x:row>
    <x:row r="7" ht="15.600000381469727">
      <x:c r="A7" s="6">
        <x:v>4</x:v>
      </x:c>
      <x:c r="B7" s="7">
        <x:v>30</x:v>
      </x:c>
      <x:c r="C7" s="23">
        <x:v>7.53</x:v>
      </x:c>
      <x:c r="D7" s="11">
        <x:f t="shared" si="0"/>
        <x:v>18.16</x:v>
      </x:c>
      <x:c r="F7" s="15" t="s">
        <x:v>10</x:v>
      </x:c>
      <x:c r="G7" s="18" t="n">
        <x:f>G6/G5</x:f>
        <x:v>0.23800000000000002</x:v>
      </x:c>
    </x:row>
    <x:row r="8" ht="15.600000381469727">
      <x:c r="A8" s="6">
        <x:v>5</x:v>
      </x:c>
      <x:c r="B8" s="7">
        <x:v>40</x:v>
      </x:c>
      <x:c r="C8" s="23">
        <x:v>6.8</x:v>
      </x:c>
      <x:c r="D8" s="11">
        <x:f t="shared" si="0"/>
        <x:v>18.89</x:v>
      </x:c>
    </x:row>
    <x:row r="9" ht="15.600000381469727">
      <x:c r="A9" s="6">
        <x:v>6</x:v>
      </x:c>
      <x:c r="B9" s="7">
        <x:v>50</x:v>
      </x:c>
      <x:c r="C9" s="23">
        <x:v>6.4</x:v>
      </x:c>
      <x:c r="D9" s="11">
        <x:f t="shared" si="0"/>
        <x:v>19.29</x:v>
      </x:c>
    </x:row>
    <x:row r="10" ht="15.600000381469727">
      <x:c r="A10" s="6">
        <x:v>7</x:v>
      </x:c>
      <x:c r="B10" s="7">
        <x:v>60</x:v>
      </x:c>
      <x:c r="C10" s="23">
        <x:v>5.73</x:v>
      </x:c>
      <x:c r="D10" s="11">
        <x:f t="shared" si="0"/>
        <x:v>19.96</x:v>
      </x:c>
    </x:row>
    <x:row r="11" ht="15.600000381469727">
      <x:c r="A11" s="6">
        <x:v>8</x:v>
      </x:c>
      <x:c r="B11" s="7">
        <x:v>70</x:v>
      </x:c>
      <x:c r="C11" s="23">
        <x:v>4.87</x:v>
      </x:c>
      <x:c r="D11" s="11">
        <x:f t="shared" si="0"/>
        <x:v>20.82</x:v>
      </x:c>
    </x:row>
    <x:row r="12" ht="15.600000381469727">
      <x:c r="A12" s="6">
        <x:v>9</x:v>
      </x:c>
      <x:c r="B12" s="7">
        <x:v>80</x:v>
      </x:c>
      <x:c r="C12" s="23">
        <x:v>4.47</x:v>
      </x:c>
      <x:c r="D12" s="11">
        <x:f t="shared" si="0"/>
        <x:v>21.220000000000002</x:v>
      </x:c>
    </x:row>
    <x:row r="13" ht="15.600000381469727">
      <x:c r="A13" s="6">
        <x:v>10</x:v>
      </x:c>
      <x:c r="B13" s="7">
        <x:v>90</x:v>
      </x:c>
      <x:c r="C13" s="23">
        <x:v>4.2699999999999996</x:v>
      </x:c>
      <x:c r="D13" s="11">
        <x:f t="shared" si="0"/>
        <x:v>21.42</x:v>
      </x:c>
    </x:row>
    <x:row r="14" ht="15.600000381469727">
      <x:c r="A14" s="6">
        <x:v>11</x:v>
      </x:c>
      <x:c r="B14" s="7">
        <x:v>100</x:v>
      </x:c>
      <x:c r="C14" s="23">
        <x:v>4.2699999999999996</x:v>
      </x:c>
      <x:c r="D14" s="11">
        <x:f t="shared" si="0"/>
        <x:v>21.42</x:v>
      </x:c>
    </x:row>
    <x:row r="15" ht="15.600000381469727">
      <x:c r="A15" s="6">
        <x:v>12</x:v>
      </x:c>
      <x:c r="B15" s="7">
        <x:v>110</x:v>
      </x:c>
      <x:c r="C15" s="23">
        <x:v>4.2699999999999996</x:v>
      </x:c>
      <x:c r="D15" s="11">
        <x:f t="shared" si="0"/>
        <x:v>21.42</x:v>
      </x:c>
    </x:row>
    <x:row r="16" ht="16.200000762939453">
      <x:c r="A16" s="8">
        <x:v>13</x:v>
      </x:c>
      <x:c r="B16" s="9">
        <x:v>120</x:v>
      </x:c>
      <x:c r="C16" s="24">
        <x:v>4.2699999999999996</x:v>
      </x:c>
      <x:c r="D16" s="12">
        <x:f t="shared" si="0"/>
        <x:v>21.42</x:v>
      </x:c>
    </x:row>
  </x:sheetData>
  <x:mergeCells>
    <x:mergeCell ref="A1:D1"/>
    <x:mergeCell ref="F1:G1"/>
  </x:mergeCells>
  <x:pageMargins left="0.7" right="0.7" top="0.75" bottom="0.75" header="0.3" footer="0.3"/>
  <x:drawing xmlns:r="http://schemas.openxmlformats.org/officeDocument/2006/relationships" r:id="R4814a2453c2a481b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48" hidden="0" customWidth="1"/>
    <x:col min="5" max="5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16.799999237060547" hidden="0" customHeight="1">
      <x:c r="A1" s="52" t="str">
        <x:v>Analisis T-L dan Garis Singgung Respons Suhu Sistem Pendingin</x:v>
      </x:c>
      <x:c r="B1" s="52"/>
      <x:c r="C1" s="52"/>
      <x:c r="D1" s="92"/>
      <x:c r="E1" s="52"/>
      <x:c r="F1" s="52"/>
      <x:c r="G1" s="52"/>
      <x:c r="H1" s="52"/>
    </x:row>
    <x:row r="2">
      <x:c r="A2" s="57" t="str">
        <x:v>Sumber data: Data pengujian penulis pada sheet 'Pengujian Awal'. Grafik dan garis singgung diolah penulis berdasarkan metode kurva reaksi Ziegler–Nichols.</x:v>
      </x:c>
      <x:c r="B2" s="57"/>
      <x:c r="C2" s="57"/>
      <x:c r="D2" s="57"/>
      <x:c r="E2" s="57"/>
      <x:c r="F2" s="57"/>
      <x:c r="G2" s="57"/>
      <x:c r="H2" s="57"/>
    </x:row>
    <x:row r="4">
      <x:c r="A4" s="66" t="str">
        <x:v>Parameter</x:v>
      </x:c>
      <x:c r="B4" s="67" t="str">
        <x:v>Nilai</x:v>
      </x:c>
      <x:c r="C4" s="67" t="str">
        <x:v>Satuan</x:v>
      </x:c>
      <x:c r="D4" s="68" t="str">
        <x:v>Keterangan</x:v>
      </x:c>
      <x:c r="F4" s="136" t="str">
        <x:v>Cara membaca hasil</x:v>
      </x:c>
      <x:c r="G4" s="136"/>
      <x:c r="H4" s="136"/>
      <x:c r="I4" s="136"/>
      <x:c r="J4" s="136"/>
      <x:c r="K4" s="136"/>
    </x:row>
    <x:row r="5">
      <x:c r="A5" s="84" t="str">
        <x:v>Suhu awal</x:v>
      </x:c>
      <x:c r="B5" s="88" t="n">
        <x:v>25.69</x:v>
      </x:c>
      <x:c r="C5" s="70" t="str">
        <x:v>°C</x:v>
      </x:c>
      <x:c r="D5" s="71" t="str">
        <x:v>Data menit ke-0</x:v>
      </x:c>
      <x:c r="F5" s="140" t="str">
        <x:v>1. Garis singgung murni dari data ini memotong garis suhu awal pada L = 0 menit.</x:v>
      </x:c>
      <x:c r="G5" s="140"/>
      <x:c r="H5" s="140"/>
      <x:c r="I5" s="140"/>
      <x:c r="J5" s="140"/>
      <x:c r="K5" s="140"/>
    </x:row>
    <x:row r="6">
      <x:c r="A6" s="84" t="str">
        <x:v>Suhu akhir/minimum</x:v>
      </x:c>
      <x:c r="B6" s="88" t="n">
        <x:v>4.27</x:v>
      </x:c>
      <x:c r="C6" s="70" t="str">
        <x:v>°C</x:v>
      </x:c>
      <x:c r="D6" s="71" t="str">
        <x:v>Nilai minimum pada data</x:v>
      </x:c>
      <x:c r="F6" s="140" t="str">
        <x:v>2. Nilai L = 0 muncul karena data awal langsung turun tajam dari menit 0 ke 10, sehingga waktu tunda tidak terekam.</x:v>
      </x:c>
      <x:c r="G6" s="140"/>
      <x:c r="H6" s="140"/>
      <x:c r="I6" s="140"/>
      <x:c r="J6" s="140"/>
      <x:c r="K6" s="140"/>
    </x:row>
    <x:row r="7">
      <x:c r="A7" s="84" t="str">
        <x:v>Total penurunan suhu</x:v>
      </x:c>
      <x:c r="B7" s="88" t="n">
        <x:v>21.42</x:v>
      </x:c>
      <x:c r="C7" s="70" t="str">
        <x:v>°C</x:v>
      </x:c>
      <x:c r="D7" s="71" t="str">
        <x:v>Suhu awal - suhu akhir</x:v>
      </x:c>
      <x:c r="F7" s="140" t="str">
        <x:v>3. Untuk laporan, gunakan grafik ini sebagai bukti bahwa data awal kurang rapat untuk metode garis singgung murni.</x:v>
      </x:c>
      <x:c r="G7" s="140"/>
      <x:c r="H7" s="140"/>
      <x:c r="I7" s="140"/>
      <x:c r="J7" s="140"/>
      <x:c r="K7" s="140"/>
    </x:row>
    <x:row r="8">
      <x:c r="A8" s="84" t="str">
        <x:v>Segmen kemiringan terbesar</x:v>
      </x:c>
      <x:c r="B8" s="88" t="str">
        <x:v>0–10</x:v>
      </x:c>
      <x:c r="C8" s="70" t="str">
        <x:v>menit</x:v>
      </x:c>
      <x:c r="D8" s="71" t="str">
        <x:v>Dipakai untuk garis singgung murni</x:v>
      </x:c>
      <x:c r="F8" s="140" t="str">
        <x:v>4. Jika tetap membutuhkan nilai awal PID, gunakan estimasi FOPDT 28,3% dan 63,2%: L = 1,70 menit dan T = 8,22 menit.</x:v>
      </x:c>
      <x:c r="G8" s="140"/>
      <x:c r="H8" s="140"/>
      <x:c r="I8" s="140"/>
      <x:c r="J8" s="140"/>
      <x:c r="K8" s="140"/>
    </x:row>
    <x:row r="9">
      <x:c r="A9" s="84" t="str">
        <x:v>Kemiringan garis singgung</x:v>
      </x:c>
      <x:c r="B9" s="88" t="n">
        <x:v>-1.364</x:v>
      </x:c>
      <x:c r="C9" s="70" t="str">
        <x:v>°C/menit</x:v>
      </x:c>
      <x:c r="D9" s="71" t="str">
        <x:v>Slope paling curam</x:v>
      </x:c>
      <x:c r="F9" s="140" t="str">
        <x:v>5. Untuk hasil sidang yang lebih kuat, ulangi pengujian dengan pencatatan tiap 1–5 detik pada 5–10 menit pertama sebelum dan sesudah PWM diberikan.</x:v>
      </x:c>
      <x:c r="G9" s="140"/>
      <x:c r="H9" s="140"/>
      <x:c r="I9" s="140"/>
      <x:c r="J9" s="140"/>
      <x:c r="K9" s="140"/>
    </x:row>
    <x:row r="10">
      <x:c r="A10" s="84" t="str">
        <x:v>L dari garis singgung murni</x:v>
      </x:c>
      <x:c r="B10" s="88" t="n">
        <x:v>0</x:v>
      </x:c>
      <x:c r="C10" s="70" t="str">
        <x:v>menit</x:v>
      </x:c>
      <x:c r="D10" s="71" t="str">
        <x:v>Hasilnya 0 karena data awal langsung turun tajam</x:v>
      </x:c>
      <x:c r="F10" s="140"/>
      <x:c r="G10" s="140"/>
      <x:c r="H10" s="140"/>
      <x:c r="I10" s="140"/>
      <x:c r="J10" s="140"/>
      <x:c r="K10" s="140"/>
    </x:row>
    <x:row r="11">
      <x:c r="A11" s="84" t="str">
        <x:v>T dari garis singgung murni</x:v>
      </x:c>
      <x:c r="B11" s="88" t="n">
        <x:v>15.7</x:v>
      </x:c>
      <x:c r="C11" s="70" t="str">
        <x:v>menit</x:v>
      </x:c>
      <x:c r="D11" s="71" t="str">
        <x:v>Titik potong garis awal sampai garis akhir</x:v>
      </x:c>
    </x:row>
    <x:row r="12">
      <x:c r="A12" s="84" t="str">
        <x:v>t 28,3%</x:v>
      </x:c>
      <x:c r="B12" s="88" t="n">
        <x:v>4.44</x:v>
      </x:c>
      <x:c r="C12" s="70" t="str">
        <x:v>menit</x:v>
      </x:c>
      <x:c r="D12" s="71" t="str">
        <x:v>Estimasi dari interpolasi data</x:v>
      </x:c>
    </x:row>
    <x:row r="13">
      <x:c r="A13" s="84" t="str">
        <x:v>t 63,2%</x:v>
      </x:c>
      <x:c r="B13" s="88" t="n">
        <x:v>9.92</x:v>
      </x:c>
      <x:c r="C13" s="70" t="str">
        <x:v>menit</x:v>
      </x:c>
      <x:c r="D13" s="71" t="str">
        <x:v>Estimasi dari interpolasi data</x:v>
      </x:c>
    </x:row>
    <x:row r="14">
      <x:c r="A14" s="84" t="str">
        <x:v>L estimasi FOPDT</x:v>
      </x:c>
      <x:c r="B14" s="88" t="n">
        <x:v>1.7</x:v>
      </x:c>
      <x:c r="C14" s="70" t="str">
        <x:v>menit</x:v>
      </x:c>
      <x:c r="D14" s="71" t="str">
        <x:v>Digunakan bila diperlukan nilai L positif</x:v>
      </x:c>
    </x:row>
    <x:row r="15">
      <x:c r="A15" s="84" t="str">
        <x:v>T estimasi FOPDT</x:v>
      </x:c>
      <x:c r="B15" s="88" t="n">
        <x:v>8.22</x:v>
      </x:c>
      <x:c r="C15" s="70" t="str">
        <x:v>menit</x:v>
      </x:c>
      <x:c r="D15" s="71" t="str">
        <x:v>Digunakan bila diperlukan nilai T positif</x:v>
      </x:c>
    </x:row>
    <x:row r="16">
      <x:c r="A16" s="84" t="str">
        <x:v>ΔPWM asumsi</x:v>
      </x:c>
      <x:c r="B16" s="88" t="n">
        <x:v>255</x:v>
      </x:c>
      <x:c r="C16" s="70" t="str">
        <x:v>PWM</x:v>
      </x:c>
      <x:c r="D16" s="71" t="str">
        <x:v>Ubah jika input step bukan 0 ke 255</x:v>
      </x:c>
    </x:row>
    <x:row r="17">
      <x:c r="A17" s="84" t="str">
        <x:v>K proses</x:v>
      </x:c>
      <x:c r="B17" s="88" t="n">
        <x:v>0.084</x:v>
      </x:c>
      <x:c r="C17" s="70" t="str">
        <x:v>°C/PWM</x:v>
      </x:c>
      <x:c r="D17" s="71" t="str">
        <x:v>K = |ΔT/ΔPWM|</x:v>
      </x:c>
    </x:row>
    <x:row r="18">
      <x:c r="A18" s="84" t="str">
        <x:v>Kp PID Z-N</x:v>
      </x:c>
      <x:c r="B18" s="88" t="n">
        <x:v>68.9269</x:v>
      </x:c>
      <x:c r="C18" s="70" t="str">
        <x:v>PWM/°C</x:v>
      </x:c>
      <x:c r="D18" s="71" t="str">
        <x:v>Menggunakan L dan T estimasi</x:v>
      </x:c>
    </x:row>
    <x:row r="19">
      <x:c r="A19" s="84" t="str">
        <x:v>Ti</x:v>
      </x:c>
      <x:c r="B19" s="88" t="n">
        <x:v>3.4077</x:v>
      </x:c>
      <x:c r="C19" s="70" t="str">
        <x:v>menit</x:v>
      </x:c>
      <x:c r="D19" s="71" t="str">
        <x:v>Ti = 2L</x:v>
      </x:c>
    </x:row>
    <x:row r="20">
      <x:c r="A20" s="84" t="str">
        <x:v>Td</x:v>
      </x:c>
      <x:c r="B20" s="88" t="n">
        <x:v>0.8519</x:v>
      </x:c>
      <x:c r="C20" s="70" t="str">
        <x:v>menit</x:v>
      </x:c>
      <x:c r="D20" s="71" t="str">
        <x:v>Td = 0,5L</x:v>
      </x:c>
    </x:row>
    <x:row r="21">
      <x:c r="A21" s="84" t="str">
        <x:v>Ki jika dt menit</x:v>
      </x:c>
      <x:c r="B21" s="88" t="n">
        <x:v>20.2267</x:v>
      </x:c>
      <x:c r="C21" s="70" t="str">
        <x:v>1/menit</x:v>
      </x:c>
      <x:c r="D21" s="71" t="str">
        <x:v>Ki = Kp/Ti</x:v>
      </x:c>
    </x:row>
    <x:row r="22">
      <x:c r="A22" s="84" t="str">
        <x:v>Kd jika dt menit</x:v>
      </x:c>
      <x:c r="B22" s="88" t="n">
        <x:v>58.721</x:v>
      </x:c>
      <x:c r="C22" s="70" t="str">
        <x:v>menit</x:v>
      </x:c>
      <x:c r="D22" s="71" t="str">
        <x:v>Kd = Kp × Td</x:v>
      </x:c>
    </x:row>
    <x:row r="23">
      <x:c r="A23" s="84" t="str">
        <x:v>Ki jika dt detik</x:v>
      </x:c>
      <x:c r="B23" s="88" t="n">
        <x:v>0.3371</x:v>
      </x:c>
      <x:c r="C23" s="70" t="str">
        <x:v>1/detik</x:v>
      </x:c>
      <x:c r="D23" s="71" t="str">
        <x:v>Dipakai jika program menghitung dt dalam detik</x:v>
      </x:c>
    </x:row>
    <x:row r="24">
      <x:c r="A24" s="85" t="str">
        <x:v>Kd jika dt detik</x:v>
      </x:c>
      <x:c r="B24" s="89" t="n">
        <x:v>3523.2625</x:v>
      </x:c>
      <x:c r="C24" s="73" t="str">
        <x:v>detik</x:v>
      </x:c>
      <x:c r="D24" s="74" t="str">
        <x:v>Dipakai jika program menghitung dt dalam detik</x:v>
      </x:c>
    </x:row>
    <x:row r="27">
      <x:c r="A27" s="100" t="str">
        <x:v>No.</x:v>
      </x:c>
      <x:c r="B27" s="101" t="str">
        <x:v>Waktu (menit)</x:v>
      </x:c>
      <x:c r="C27" s="101" t="str">
        <x:v>Suhu Aktual (°C)</x:v>
      </x:c>
      <x:c r="D27" s="101" t="str">
        <x:v>Penurunan (°C)</x:v>
      </x:c>
      <x:c r="E27" s="102" t="str">
        <x:v>Slope ke data berikutnya (°C/menit)</x:v>
      </x:c>
      <x:c r="G27" s="128" t="str">
        <x:v>Waktu (menit)</x:v>
      </x:c>
      <x:c r="H27" s="128" t="str">
        <x:v>Suhu aktual interpolasi (°C)</x:v>
      </x:c>
      <x:c r="I27" s="128" t="str">
        <x:v>Garis singgung (°C)</x:v>
      </x:c>
      <x:c r="J27" s="128" t="str">
        <x:v>Suhu awal (°C)</x:v>
      </x:c>
      <x:c r="K27" s="128" t="str">
        <x:v>Suhu akhir (°C)</x:v>
      </x:c>
    </x:row>
    <x:row r="28">
      <x:c r="A28" s="103" t="n">
        <x:v>1</x:v>
      </x:c>
      <x:c r="B28" s="118" t="n">
        <x:v>0</x:v>
      </x:c>
      <x:c r="C28" s="118" t="n">
        <x:v>25.69</x:v>
      </x:c>
      <x:c r="D28" s="118" t="n">
        <x:v>0</x:v>
      </x:c>
      <x:c r="E28" s="119" t="n">
        <x:v>-1.364</x:v>
      </x:c>
      <x:c r="G28" s="132" t="n">
        <x:v>0</x:v>
      </x:c>
      <x:c r="H28" s="132" t="n">
        <x:v>25.69</x:v>
      </x:c>
      <x:c r="I28" s="132" t="n">
        <x:v>25.69</x:v>
      </x:c>
      <x:c r="J28" s="132" t="n">
        <x:v>25.69</x:v>
      </x:c>
      <x:c r="K28" s="132" t="n">
        <x:v>4.27</x:v>
      </x:c>
    </x:row>
    <x:row r="29">
      <x:c r="A29" s="103" t="n">
        <x:v>2</x:v>
      </x:c>
      <x:c r="B29" s="118" t="n">
        <x:v>10</x:v>
      </x:c>
      <x:c r="C29" s="118" t="n">
        <x:v>12.05</x:v>
      </x:c>
      <x:c r="D29" s="118" t="n">
        <x:v>13.64</x:v>
      </x:c>
      <x:c r="E29" s="119" t="n">
        <x:v>-0.2720000000000001</x:v>
      </x:c>
      <x:c r="G29" s="132" t="n">
        <x:v>1</x:v>
      </x:c>
      <x:c r="H29" s="132" t="n">
        <x:v>24.326</x:v>
      </x:c>
      <x:c r="I29" s="132" t="n">
        <x:v>24.326</x:v>
      </x:c>
      <x:c r="J29" s="132" t="n">
        <x:v>25.69</x:v>
      </x:c>
      <x:c r="K29" s="132" t="n">
        <x:v>4.27</x:v>
      </x:c>
    </x:row>
    <x:row r="30">
      <x:c r="A30" s="103" t="n">
        <x:v>3</x:v>
      </x:c>
      <x:c r="B30" s="118" t="n">
        <x:v>20</x:v>
      </x:c>
      <x:c r="C30" s="118" t="n">
        <x:v>9.33</x:v>
      </x:c>
      <x:c r="D30" s="118" t="n">
        <x:v>16.36</x:v>
      </x:c>
      <x:c r="E30" s="119" t="n">
        <x:v>-0.18</x:v>
      </x:c>
      <x:c r="G30" s="132" t="n">
        <x:v>2</x:v>
      </x:c>
      <x:c r="H30" s="132" t="n">
        <x:v>22.962</x:v>
      </x:c>
      <x:c r="I30" s="132" t="n">
        <x:v>22.962</x:v>
      </x:c>
      <x:c r="J30" s="132" t="n">
        <x:v>25.69</x:v>
      </x:c>
      <x:c r="K30" s="132" t="n">
        <x:v>4.27</x:v>
      </x:c>
    </x:row>
    <x:row r="31">
      <x:c r="A31" s="103" t="n">
        <x:v>4</x:v>
      </x:c>
      <x:c r="B31" s="118" t="n">
        <x:v>30</x:v>
      </x:c>
      <x:c r="C31" s="118" t="n">
        <x:v>7.53</x:v>
      </x:c>
      <x:c r="D31" s="118" t="n">
        <x:v>18.16</x:v>
      </x:c>
      <x:c r="E31" s="119" t="n">
        <x:v>-0.07300000000000004</x:v>
      </x:c>
      <x:c r="G31" s="132" t="n">
        <x:v>3</x:v>
      </x:c>
      <x:c r="H31" s="132" t="n">
        <x:v>21.598000000000003</x:v>
      </x:c>
      <x:c r="I31" s="132" t="n">
        <x:v>21.598</x:v>
      </x:c>
      <x:c r="J31" s="132" t="n">
        <x:v>25.69</x:v>
      </x:c>
      <x:c r="K31" s="132" t="n">
        <x:v>4.27</x:v>
      </x:c>
    </x:row>
    <x:row r="32">
      <x:c r="A32" s="103" t="n">
        <x:v>5</x:v>
      </x:c>
      <x:c r="B32" s="118" t="n">
        <x:v>40</x:v>
      </x:c>
      <x:c r="C32" s="118" t="n">
        <x:v>6.8</x:v>
      </x:c>
      <x:c r="D32" s="118" t="n">
        <x:v>18.89</x:v>
      </x:c>
      <x:c r="E32" s="119" t="n">
        <x:v>-0.039999999999999945</x:v>
      </x:c>
      <x:c r="G32" s="132" t="n">
        <x:v>4</x:v>
      </x:c>
      <x:c r="H32" s="132" t="n">
        <x:v>20.234</x:v>
      </x:c>
      <x:c r="I32" s="132" t="n">
        <x:v>20.234</x:v>
      </x:c>
      <x:c r="J32" s="132" t="n">
        <x:v>25.69</x:v>
      </x:c>
      <x:c r="K32" s="132" t="n">
        <x:v>4.27</x:v>
      </x:c>
    </x:row>
    <x:row r="33">
      <x:c r="A33" s="103" t="n">
        <x:v>6</x:v>
      </x:c>
      <x:c r="B33" s="118" t="n">
        <x:v>50</x:v>
      </x:c>
      <x:c r="C33" s="118" t="n">
        <x:v>6.4</x:v>
      </x:c>
      <x:c r="D33" s="118" t="n">
        <x:v>19.29</x:v>
      </x:c>
      <x:c r="E33" s="119" t="n">
        <x:v>-0.06699999999999999</x:v>
      </x:c>
      <x:c r="G33" s="132" t="n">
        <x:v>5</x:v>
      </x:c>
      <x:c r="H33" s="132" t="n">
        <x:v>18.87</x:v>
      </x:c>
      <x:c r="I33" s="132" t="n">
        <x:v>18.87</x:v>
      </x:c>
      <x:c r="J33" s="132" t="n">
        <x:v>25.69</x:v>
      </x:c>
      <x:c r="K33" s="132" t="n">
        <x:v>4.27</x:v>
      </x:c>
    </x:row>
    <x:row r="34">
      <x:c r="A34" s="103" t="n">
        <x:v>7</x:v>
      </x:c>
      <x:c r="B34" s="118" t="n">
        <x:v>60</x:v>
      </x:c>
      <x:c r="C34" s="118" t="n">
        <x:v>5.73</x:v>
      </x:c>
      <x:c r="D34" s="118" t="n">
        <x:v>19.96</x:v>
      </x:c>
      <x:c r="E34" s="119" t="n">
        <x:v>-0.08600000000000003</x:v>
      </x:c>
      <x:c r="G34" s="132" t="n">
        <x:v>6</x:v>
      </x:c>
      <x:c r="H34" s="132" t="n">
        <x:v>17.506</x:v>
      </x:c>
      <x:c r="I34" s="132" t="n">
        <x:v>17.506</x:v>
      </x:c>
      <x:c r="J34" s="132" t="n">
        <x:v>25.69</x:v>
      </x:c>
      <x:c r="K34" s="132" t="n">
        <x:v>4.27</x:v>
      </x:c>
    </x:row>
    <x:row r="35">
      <x:c r="A35" s="103" t="n">
        <x:v>8</x:v>
      </x:c>
      <x:c r="B35" s="118" t="n">
        <x:v>70</x:v>
      </x:c>
      <x:c r="C35" s="118" t="n">
        <x:v>4.87</x:v>
      </x:c>
      <x:c r="D35" s="118" t="n">
        <x:v>20.82</x:v>
      </x:c>
      <x:c r="E35" s="119" t="n">
        <x:v>-0.040000000000000036</x:v>
      </x:c>
      <x:c r="G35" s="132" t="n">
        <x:v>7</x:v>
      </x:c>
      <x:c r="H35" s="132" t="n">
        <x:v>16.142000000000003</x:v>
      </x:c>
      <x:c r="I35" s="132" t="n">
        <x:v>16.142000000000003</x:v>
      </x:c>
      <x:c r="J35" s="132" t="n">
        <x:v>25.69</x:v>
      </x:c>
      <x:c r="K35" s="132" t="n">
        <x:v>4.27</x:v>
      </x:c>
    </x:row>
    <x:row r="36">
      <x:c r="A36" s="103" t="n">
        <x:v>9</x:v>
      </x:c>
      <x:c r="B36" s="118" t="n">
        <x:v>80</x:v>
      </x:c>
      <x:c r="C36" s="118" t="n">
        <x:v>4.47</x:v>
      </x:c>
      <x:c r="D36" s="118" t="n">
        <x:v>21.22</x:v>
      </x:c>
      <x:c r="E36" s="119" t="n">
        <x:v>-0.020000000000000018</x:v>
      </x:c>
      <x:c r="G36" s="132" t="n">
        <x:v>8</x:v>
      </x:c>
      <x:c r="H36" s="132" t="n">
        <x:v>14.778</x:v>
      </x:c>
      <x:c r="I36" s="132" t="n">
        <x:v>14.778</x:v>
      </x:c>
      <x:c r="J36" s="132" t="n">
        <x:v>25.69</x:v>
      </x:c>
      <x:c r="K36" s="132" t="n">
        <x:v>4.27</x:v>
      </x:c>
    </x:row>
    <x:row r="37">
      <x:c r="A37" s="103" t="n">
        <x:v>10</x:v>
      </x:c>
      <x:c r="B37" s="118" t="n">
        <x:v>90</x:v>
      </x:c>
      <x:c r="C37" s="118" t="n">
        <x:v>4.27</x:v>
      </x:c>
      <x:c r="D37" s="118" t="n">
        <x:v>21.42</x:v>
      </x:c>
      <x:c r="E37" s="119" t="n">
        <x:v>0</x:v>
      </x:c>
      <x:c r="G37" s="132" t="n">
        <x:v>9</x:v>
      </x:c>
      <x:c r="H37" s="132" t="n">
        <x:v>13.414</x:v>
      </x:c>
      <x:c r="I37" s="132" t="n">
        <x:v>13.414</x:v>
      </x:c>
      <x:c r="J37" s="132" t="n">
        <x:v>25.69</x:v>
      </x:c>
      <x:c r="K37" s="132" t="n">
        <x:v>4.27</x:v>
      </x:c>
    </x:row>
    <x:row r="38">
      <x:c r="A38" s="103" t="n">
        <x:v>11</x:v>
      </x:c>
      <x:c r="B38" s="118" t="n">
        <x:v>100</x:v>
      </x:c>
      <x:c r="C38" s="118" t="n">
        <x:v>4.27</x:v>
      </x:c>
      <x:c r="D38" s="118" t="n">
        <x:v>21.42</x:v>
      </x:c>
      <x:c r="E38" s="119" t="n">
        <x:v>0</x:v>
      </x:c>
      <x:c r="G38" s="132" t="n">
        <x:v>10</x:v>
      </x:c>
      <x:c r="H38" s="132" t="n">
        <x:v>12.05</x:v>
      </x:c>
      <x:c r="I38" s="132" t="n">
        <x:v>12.05</x:v>
      </x:c>
      <x:c r="J38" s="132" t="n">
        <x:v>25.69</x:v>
      </x:c>
      <x:c r="K38" s="132" t="n">
        <x:v>4.27</x:v>
      </x:c>
    </x:row>
    <x:row r="39">
      <x:c r="A39" s="103" t="n">
        <x:v>12</x:v>
      </x:c>
      <x:c r="B39" s="118" t="n">
        <x:v>110</x:v>
      </x:c>
      <x:c r="C39" s="118" t="n">
        <x:v>4.27</x:v>
      </x:c>
      <x:c r="D39" s="118" t="n">
        <x:v>21.42</x:v>
      </x:c>
      <x:c r="E39" s="119" t="n">
        <x:v>0</x:v>
      </x:c>
      <x:c r="G39" s="132" t="n">
        <x:v>11</x:v>
      </x:c>
      <x:c r="H39" s="132" t="n">
        <x:v>11.778</x:v>
      </x:c>
      <x:c r="I39" s="132" t="n">
        <x:v>10.686</x:v>
      </x:c>
      <x:c r="J39" s="132" t="n">
        <x:v>25.69</x:v>
      </x:c>
      <x:c r="K39" s="132" t="n">
        <x:v>4.27</x:v>
      </x:c>
    </x:row>
    <x:row r="40">
      <x:c r="A40" s="106" t="n">
        <x:v>13</x:v>
      </x:c>
      <x:c r="B40" s="120" t="n">
        <x:v>120</x:v>
      </x:c>
      <x:c r="C40" s="120" t="n">
        <x:v>4.27</x:v>
      </x:c>
      <x:c r="D40" s="120" t="n">
        <x:v>21.42</x:v>
      </x:c>
      <x:c r="E40" s="121"/>
      <x:c r="G40" s="132" t="n">
        <x:v>12</x:v>
      </x:c>
      <x:c r="H40" s="132" t="n">
        <x:v>11.506</x:v>
      </x:c>
      <x:c r="I40" s="132" t="n">
        <x:v>9.322</x:v>
      </x:c>
      <x:c r="J40" s="132" t="n">
        <x:v>25.69</x:v>
      </x:c>
      <x:c r="K40" s="132" t="n">
        <x:v>4.27</x:v>
      </x:c>
    </x:row>
    <x:row r="41">
      <x:c r="G41" s="132" t="n">
        <x:v>13</x:v>
      </x:c>
      <x:c r="H41" s="132" t="n">
        <x:v>11.234</x:v>
      </x:c>
      <x:c r="I41" s="132" t="n">
        <x:v>7.957999999999998</x:v>
      </x:c>
      <x:c r="J41" s="132" t="n">
        <x:v>25.69</x:v>
      </x:c>
      <x:c r="K41" s="132" t="n">
        <x:v>4.27</x:v>
      </x:c>
    </x:row>
    <x:row r="42">
      <x:c r="G42" s="132" t="n">
        <x:v>14</x:v>
      </x:c>
      <x:c r="H42" s="132" t="n">
        <x:v>10.962</x:v>
      </x:c>
      <x:c r="I42" s="132" t="n">
        <x:v>6.594000000000001</x:v>
      </x:c>
      <x:c r="J42" s="132" t="n">
        <x:v>25.69</x:v>
      </x:c>
      <x:c r="K42" s="132" t="n">
        <x:v>4.27</x:v>
      </x:c>
    </x:row>
    <x:row r="43">
      <x:c r="G43" s="132" t="n">
        <x:v>15</x:v>
      </x:c>
      <x:c r="H43" s="132" t="n">
        <x:v>10.690000000000001</x:v>
      </x:c>
      <x:c r="I43" s="132" t="n">
        <x:v>5.23</x:v>
      </x:c>
      <x:c r="J43" s="132" t="n">
        <x:v>25.69</x:v>
      </x:c>
      <x:c r="K43" s="132" t="n">
        <x:v>4.27</x:v>
      </x:c>
    </x:row>
    <x:row r="44">
      <x:c r="G44" s="132" t="n">
        <x:v>16</x:v>
      </x:c>
      <x:c r="H44" s="132" t="n">
        <x:v>10.418000000000001</x:v>
      </x:c>
      <x:c r="I44" s="132"/>
      <x:c r="J44" s="132" t="n">
        <x:v>25.69</x:v>
      </x:c>
      <x:c r="K44" s="132" t="n">
        <x:v>4.27</x:v>
      </x:c>
    </x:row>
    <x:row r="45">
      <x:c r="G45" s="132" t="n">
        <x:v>17</x:v>
      </x:c>
      <x:c r="H45" s="132" t="n">
        <x:v>10.146</x:v>
      </x:c>
      <x:c r="I45" s="132"/>
      <x:c r="J45" s="132" t="n">
        <x:v>25.69</x:v>
      </x:c>
      <x:c r="K45" s="132" t="n">
        <x:v>4.27</x:v>
      </x:c>
    </x:row>
    <x:row r="46">
      <x:c r="G46" s="132" t="n">
        <x:v>18</x:v>
      </x:c>
      <x:c r="H46" s="132" t="n">
        <x:v>9.874</x:v>
      </x:c>
      <x:c r="I46" s="132"/>
      <x:c r="J46" s="132" t="n">
        <x:v>25.69</x:v>
      </x:c>
      <x:c r="K46" s="132" t="n">
        <x:v>4.27</x:v>
      </x:c>
    </x:row>
    <x:row r="47">
      <x:c r="G47" s="132" t="n">
        <x:v>19</x:v>
      </x:c>
      <x:c r="H47" s="132" t="n">
        <x:v>9.602</x:v>
      </x:c>
      <x:c r="I47" s="132"/>
      <x:c r="J47" s="132" t="n">
        <x:v>25.69</x:v>
      </x:c>
      <x:c r="K47" s="132" t="n">
        <x:v>4.27</x:v>
      </x:c>
    </x:row>
    <x:row r="48">
      <x:c r="G48" s="132" t="n">
        <x:v>20</x:v>
      </x:c>
      <x:c r="H48" s="132" t="n">
        <x:v>9.33</x:v>
      </x:c>
      <x:c r="I48" s="132"/>
      <x:c r="J48" s="132" t="n">
        <x:v>25.69</x:v>
      </x:c>
      <x:c r="K48" s="132" t="n">
        <x:v>4.27</x:v>
      </x:c>
    </x:row>
    <x:row r="49">
      <x:c r="G49" s="132" t="n">
        <x:v>21</x:v>
      </x:c>
      <x:c r="H49" s="132" t="n">
        <x:v>9.15</x:v>
      </x:c>
      <x:c r="I49" s="132"/>
      <x:c r="J49" s="132" t="n">
        <x:v>25.69</x:v>
      </x:c>
      <x:c r="K49" s="132" t="n">
        <x:v>4.27</x:v>
      </x:c>
    </x:row>
    <x:row r="50">
      <x:c r="G50" s="132" t="n">
        <x:v>22</x:v>
      </x:c>
      <x:c r="H50" s="132" t="n">
        <x:v>8.97</x:v>
      </x:c>
      <x:c r="I50" s="132"/>
      <x:c r="J50" s="132" t="n">
        <x:v>25.69</x:v>
      </x:c>
      <x:c r="K50" s="132" t="n">
        <x:v>4.27</x:v>
      </x:c>
    </x:row>
    <x:row r="51">
      <x:c r="G51" s="132" t="n">
        <x:v>23</x:v>
      </x:c>
      <x:c r="H51" s="132" t="n">
        <x:v>8.790000000000001</x:v>
      </x:c>
      <x:c r="I51" s="132"/>
      <x:c r="J51" s="132" t="n">
        <x:v>25.69</x:v>
      </x:c>
      <x:c r="K51" s="132" t="n">
        <x:v>4.27</x:v>
      </x:c>
    </x:row>
    <x:row r="52">
      <x:c r="G52" s="132" t="n">
        <x:v>24</x:v>
      </x:c>
      <x:c r="H52" s="132" t="n">
        <x:v>8.61</x:v>
      </x:c>
      <x:c r="I52" s="132"/>
      <x:c r="J52" s="132" t="n">
        <x:v>25.69</x:v>
      </x:c>
      <x:c r="K52" s="132" t="n">
        <x:v>4.27</x:v>
      </x:c>
    </x:row>
    <x:row r="53">
      <x:c r="G53" s="132" t="n">
        <x:v>25</x:v>
      </x:c>
      <x:c r="H53" s="132" t="n">
        <x:v>8.43</x:v>
      </x:c>
      <x:c r="I53" s="132"/>
      <x:c r="J53" s="132" t="n">
        <x:v>25.69</x:v>
      </x:c>
      <x:c r="K53" s="132" t="n">
        <x:v>4.27</x:v>
      </x:c>
    </x:row>
    <x:row r="54">
      <x:c r="G54" s="132" t="n">
        <x:v>26</x:v>
      </x:c>
      <x:c r="H54" s="132" t="n">
        <x:v>8.25</x:v>
      </x:c>
      <x:c r="I54" s="132"/>
      <x:c r="J54" s="132" t="n">
        <x:v>25.69</x:v>
      </x:c>
      <x:c r="K54" s="132" t="n">
        <x:v>4.27</x:v>
      </x:c>
    </x:row>
    <x:row r="55">
      <x:c r="G55" s="132" t="n">
        <x:v>27</x:v>
      </x:c>
      <x:c r="H55" s="132" t="n">
        <x:v>8.07</x:v>
      </x:c>
      <x:c r="I55" s="132"/>
      <x:c r="J55" s="132" t="n">
        <x:v>25.69</x:v>
      </x:c>
      <x:c r="K55" s="132" t="n">
        <x:v>4.27</x:v>
      </x:c>
    </x:row>
    <x:row r="56">
      <x:c r="G56" s="132" t="n">
        <x:v>28</x:v>
      </x:c>
      <x:c r="H56" s="132" t="n">
        <x:v>7.890000000000001</x:v>
      </x:c>
      <x:c r="I56" s="132"/>
      <x:c r="J56" s="132" t="n">
        <x:v>25.69</x:v>
      </x:c>
      <x:c r="K56" s="132" t="n">
        <x:v>4.27</x:v>
      </x:c>
    </x:row>
    <x:row r="57">
      <x:c r="G57" s="132" t="n">
        <x:v>29</x:v>
      </x:c>
      <x:c r="H57" s="132" t="n">
        <x:v>7.71</x:v>
      </x:c>
      <x:c r="I57" s="132"/>
      <x:c r="J57" s="132" t="n">
        <x:v>25.69</x:v>
      </x:c>
      <x:c r="K57" s="132" t="n">
        <x:v>4.27</x:v>
      </x:c>
    </x:row>
    <x:row r="58">
      <x:c r="G58" s="132" t="n">
        <x:v>30</x:v>
      </x:c>
      <x:c r="H58" s="132" t="n">
        <x:v>7.53</x:v>
      </x:c>
      <x:c r="I58" s="132"/>
      <x:c r="J58" s="132" t="n">
        <x:v>25.69</x:v>
      </x:c>
      <x:c r="K58" s="132" t="n">
        <x:v>4.27</x:v>
      </x:c>
    </x:row>
    <x:row r="59">
      <x:c r="G59" s="132" t="n">
        <x:v>31</x:v>
      </x:c>
      <x:c r="H59" s="132" t="n">
        <x:v>7.457</x:v>
      </x:c>
      <x:c r="I59" s="132"/>
      <x:c r="J59" s="132" t="n">
        <x:v>25.69</x:v>
      </x:c>
      <x:c r="K59" s="132" t="n">
        <x:v>4.27</x:v>
      </x:c>
    </x:row>
    <x:row r="60">
      <x:c r="G60" s="132" t="n">
        <x:v>32</x:v>
      </x:c>
      <x:c r="H60" s="132" t="n">
        <x:v>7.384</x:v>
      </x:c>
      <x:c r="I60" s="132"/>
      <x:c r="J60" s="132" t="n">
        <x:v>25.69</x:v>
      </x:c>
      <x:c r="K60" s="132" t="n">
        <x:v>4.27</x:v>
      </x:c>
    </x:row>
    <x:row r="61">
      <x:c r="G61" s="132" t="n">
        <x:v>33</x:v>
      </x:c>
      <x:c r="H61" s="132" t="n">
        <x:v>7.311</x:v>
      </x:c>
      <x:c r="I61" s="132"/>
      <x:c r="J61" s="132" t="n">
        <x:v>25.69</x:v>
      </x:c>
      <x:c r="K61" s="132" t="n">
        <x:v>4.27</x:v>
      </x:c>
    </x:row>
    <x:row r="62">
      <x:c r="G62" s="132" t="n">
        <x:v>34</x:v>
      </x:c>
      <x:c r="H62" s="132" t="n">
        <x:v>7.238</x:v>
      </x:c>
      <x:c r="I62" s="132"/>
      <x:c r="J62" s="132" t="n">
        <x:v>25.69</x:v>
      </x:c>
      <x:c r="K62" s="132" t="n">
        <x:v>4.27</x:v>
      </x:c>
    </x:row>
    <x:row r="63">
      <x:c r="G63" s="132" t="n">
        <x:v>35</x:v>
      </x:c>
      <x:c r="H63" s="132" t="n">
        <x:v>7.165</x:v>
      </x:c>
      <x:c r="I63" s="132"/>
      <x:c r="J63" s="132" t="n">
        <x:v>25.69</x:v>
      </x:c>
      <x:c r="K63" s="132" t="n">
        <x:v>4.27</x:v>
      </x:c>
    </x:row>
    <x:row r="64">
      <x:c r="G64" s="132" t="n">
        <x:v>36</x:v>
      </x:c>
      <x:c r="H64" s="132" t="n">
        <x:v>7.092</x:v>
      </x:c>
      <x:c r="I64" s="132"/>
      <x:c r="J64" s="132" t="n">
        <x:v>25.69</x:v>
      </x:c>
      <x:c r="K64" s="132" t="n">
        <x:v>4.27</x:v>
      </x:c>
    </x:row>
    <x:row r="65">
      <x:c r="G65" s="132" t="n">
        <x:v>37</x:v>
      </x:c>
      <x:c r="H65" s="132" t="n">
        <x:v>7.019</x:v>
      </x:c>
      <x:c r="I65" s="132"/>
      <x:c r="J65" s="132" t="n">
        <x:v>25.69</x:v>
      </x:c>
      <x:c r="K65" s="132" t="n">
        <x:v>4.27</x:v>
      </x:c>
    </x:row>
    <x:row r="66">
      <x:c r="G66" s="132" t="n">
        <x:v>38</x:v>
      </x:c>
      <x:c r="H66" s="132" t="n">
        <x:v>6.946</x:v>
      </x:c>
      <x:c r="I66" s="132"/>
      <x:c r="J66" s="132" t="n">
        <x:v>25.69</x:v>
      </x:c>
      <x:c r="K66" s="132" t="n">
        <x:v>4.27</x:v>
      </x:c>
    </x:row>
    <x:row r="67">
      <x:c r="G67" s="132" t="n">
        <x:v>39</x:v>
      </x:c>
      <x:c r="H67" s="132" t="n">
        <x:v>6.873</x:v>
      </x:c>
      <x:c r="I67" s="132"/>
      <x:c r="J67" s="132" t="n">
        <x:v>25.69</x:v>
      </x:c>
      <x:c r="K67" s="132" t="n">
        <x:v>4.27</x:v>
      </x:c>
    </x:row>
    <x:row r="68">
      <x:c r="G68" s="132" t="n">
        <x:v>40</x:v>
      </x:c>
      <x:c r="H68" s="132" t="n">
        <x:v>6.8</x:v>
      </x:c>
      <x:c r="I68" s="132"/>
      <x:c r="J68" s="132" t="n">
        <x:v>25.69</x:v>
      </x:c>
      <x:c r="K68" s="132" t="n">
        <x:v>4.27</x:v>
      </x:c>
    </x:row>
    <x:row r="69">
      <x:c r="G69" s="132" t="n">
        <x:v>41</x:v>
      </x:c>
      <x:c r="H69" s="132" t="n">
        <x:v>6.76</x:v>
      </x:c>
      <x:c r="I69" s="132"/>
      <x:c r="J69" s="132" t="n">
        <x:v>25.69</x:v>
      </x:c>
      <x:c r="K69" s="132" t="n">
        <x:v>4.27</x:v>
      </x:c>
    </x:row>
    <x:row r="70">
      <x:c r="G70" s="132" t="n">
        <x:v>42</x:v>
      </x:c>
      <x:c r="H70" s="132" t="n">
        <x:v>6.72</x:v>
      </x:c>
      <x:c r="I70" s="132"/>
      <x:c r="J70" s="132" t="n">
        <x:v>25.69</x:v>
      </x:c>
      <x:c r="K70" s="132" t="n">
        <x:v>4.27</x:v>
      </x:c>
    </x:row>
    <x:row r="71">
      <x:c r="G71" s="132" t="n">
        <x:v>43</x:v>
      </x:c>
      <x:c r="H71" s="132" t="n">
        <x:v>6.68</x:v>
      </x:c>
      <x:c r="I71" s="132"/>
      <x:c r="J71" s="132" t="n">
        <x:v>25.69</x:v>
      </x:c>
      <x:c r="K71" s="132" t="n">
        <x:v>4.27</x:v>
      </x:c>
    </x:row>
    <x:row r="72">
      <x:c r="G72" s="132" t="n">
        <x:v>44</x:v>
      </x:c>
      <x:c r="H72" s="132" t="n">
        <x:v>6.64</x:v>
      </x:c>
      <x:c r="I72" s="132"/>
      <x:c r="J72" s="132" t="n">
        <x:v>25.69</x:v>
      </x:c>
      <x:c r="K72" s="132" t="n">
        <x:v>4.27</x:v>
      </x:c>
    </x:row>
    <x:row r="73">
      <x:c r="G73" s="132" t="n">
        <x:v>45</x:v>
      </x:c>
      <x:c r="H73" s="132" t="n">
        <x:v>6.6</x:v>
      </x:c>
      <x:c r="I73" s="132"/>
      <x:c r="J73" s="132" t="n">
        <x:v>25.69</x:v>
      </x:c>
      <x:c r="K73" s="132" t="n">
        <x:v>4.27</x:v>
      </x:c>
    </x:row>
    <x:row r="74">
      <x:c r="G74" s="132" t="n">
        <x:v>46</x:v>
      </x:c>
      <x:c r="H74" s="132" t="n">
        <x:v>6.5600000000000005</x:v>
      </x:c>
      <x:c r="I74" s="132"/>
      <x:c r="J74" s="132" t="n">
        <x:v>25.69</x:v>
      </x:c>
      <x:c r="K74" s="132" t="n">
        <x:v>4.27</x:v>
      </x:c>
    </x:row>
    <x:row r="75">
      <x:c r="G75" s="132" t="n">
        <x:v>47</x:v>
      </x:c>
      <x:c r="H75" s="132" t="n">
        <x:v>6.5200000000000005</x:v>
      </x:c>
      <x:c r="I75" s="132"/>
      <x:c r="J75" s="132" t="n">
        <x:v>25.69</x:v>
      </x:c>
      <x:c r="K75" s="132" t="n">
        <x:v>4.27</x:v>
      </x:c>
    </x:row>
    <x:row r="76">
      <x:c r="G76" s="132" t="n">
        <x:v>48</x:v>
      </x:c>
      <x:c r="H76" s="132" t="n">
        <x:v>6.48</x:v>
      </x:c>
      <x:c r="I76" s="132"/>
      <x:c r="J76" s="132" t="n">
        <x:v>25.69</x:v>
      </x:c>
      <x:c r="K76" s="132" t="n">
        <x:v>4.27</x:v>
      </x:c>
    </x:row>
    <x:row r="77">
      <x:c r="G77" s="132" t="n">
        <x:v>49</x:v>
      </x:c>
      <x:c r="H77" s="132" t="n">
        <x:v>6.44</x:v>
      </x:c>
      <x:c r="I77" s="132"/>
      <x:c r="J77" s="132" t="n">
        <x:v>25.69</x:v>
      </x:c>
      <x:c r="K77" s="132" t="n">
        <x:v>4.27</x:v>
      </x:c>
    </x:row>
    <x:row r="78">
      <x:c r="G78" s="132" t="n">
        <x:v>50</x:v>
      </x:c>
      <x:c r="H78" s="132" t="n">
        <x:v>6.4</x:v>
      </x:c>
      <x:c r="I78" s="132"/>
      <x:c r="J78" s="132" t="n">
        <x:v>25.69</x:v>
      </x:c>
      <x:c r="K78" s="132" t="n">
        <x:v>4.27</x:v>
      </x:c>
    </x:row>
    <x:row r="79">
      <x:c r="G79" s="132" t="n">
        <x:v>51</x:v>
      </x:c>
      <x:c r="H79" s="132" t="n">
        <x:v>6.333</x:v>
      </x:c>
      <x:c r="I79" s="132"/>
      <x:c r="J79" s="132" t="n">
        <x:v>25.69</x:v>
      </x:c>
      <x:c r="K79" s="132" t="n">
        <x:v>4.27</x:v>
      </x:c>
    </x:row>
    <x:row r="80">
      <x:c r="G80" s="132" t="n">
        <x:v>52</x:v>
      </x:c>
      <x:c r="H80" s="132" t="n">
        <x:v>6.266</x:v>
      </x:c>
      <x:c r="I80" s="132"/>
      <x:c r="J80" s="132" t="n">
        <x:v>25.69</x:v>
      </x:c>
      <x:c r="K80" s="132" t="n">
        <x:v>4.27</x:v>
      </x:c>
    </x:row>
    <x:row r="81">
      <x:c r="G81" s="132" t="n">
        <x:v>53</x:v>
      </x:c>
      <x:c r="H81" s="132" t="n">
        <x:v>6.199000000000001</x:v>
      </x:c>
      <x:c r="I81" s="132"/>
      <x:c r="J81" s="132" t="n">
        <x:v>25.69</x:v>
      </x:c>
      <x:c r="K81" s="132" t="n">
        <x:v>4.27</x:v>
      </x:c>
    </x:row>
    <x:row r="82">
      <x:c r="G82" s="132" t="n">
        <x:v>54</x:v>
      </x:c>
      <x:c r="H82" s="132" t="n">
        <x:v>6.132000000000001</x:v>
      </x:c>
      <x:c r="I82" s="132"/>
      <x:c r="J82" s="132" t="n">
        <x:v>25.69</x:v>
      </x:c>
      <x:c r="K82" s="132" t="n">
        <x:v>4.27</x:v>
      </x:c>
    </x:row>
    <x:row r="83">
      <x:c r="G83" s="132" t="n">
        <x:v>55</x:v>
      </x:c>
      <x:c r="H83" s="132" t="n">
        <x:v>6.065</x:v>
      </x:c>
      <x:c r="I83" s="132"/>
      <x:c r="J83" s="132" t="n">
        <x:v>25.69</x:v>
      </x:c>
      <x:c r="K83" s="132" t="n">
        <x:v>4.27</x:v>
      </x:c>
    </x:row>
    <x:row r="84">
      <x:c r="G84" s="132" t="n">
        <x:v>56</x:v>
      </x:c>
      <x:c r="H84" s="132" t="n">
        <x:v>5.998</x:v>
      </x:c>
      <x:c r="I84" s="132"/>
      <x:c r="J84" s="132" t="n">
        <x:v>25.69</x:v>
      </x:c>
      <x:c r="K84" s="132" t="n">
        <x:v>4.27</x:v>
      </x:c>
    </x:row>
    <x:row r="85">
      <x:c r="G85" s="132" t="n">
        <x:v>57</x:v>
      </x:c>
      <x:c r="H85" s="132" t="n">
        <x:v>5.931</x:v>
      </x:c>
      <x:c r="I85" s="132"/>
      <x:c r="J85" s="132" t="n">
        <x:v>25.69</x:v>
      </x:c>
      <x:c r="K85" s="132" t="n">
        <x:v>4.27</x:v>
      </x:c>
    </x:row>
    <x:row r="86">
      <x:c r="G86" s="132" t="n">
        <x:v>58</x:v>
      </x:c>
      <x:c r="H86" s="132" t="n">
        <x:v>5.864000000000001</x:v>
      </x:c>
      <x:c r="I86" s="132"/>
      <x:c r="J86" s="132" t="n">
        <x:v>25.69</x:v>
      </x:c>
      <x:c r="K86" s="132" t="n">
        <x:v>4.27</x:v>
      </x:c>
    </x:row>
    <x:row r="87">
      <x:c r="G87" s="132" t="n">
        <x:v>59</x:v>
      </x:c>
      <x:c r="H87" s="132" t="n">
        <x:v>5.797000000000001</x:v>
      </x:c>
      <x:c r="I87" s="132"/>
      <x:c r="J87" s="132" t="n">
        <x:v>25.69</x:v>
      </x:c>
      <x:c r="K87" s="132" t="n">
        <x:v>4.27</x:v>
      </x:c>
    </x:row>
    <x:row r="88">
      <x:c r="G88" s="132" t="n">
        <x:v>60</x:v>
      </x:c>
      <x:c r="H88" s="132" t="n">
        <x:v>5.73</x:v>
      </x:c>
      <x:c r="I88" s="132"/>
      <x:c r="J88" s="132" t="n">
        <x:v>25.69</x:v>
      </x:c>
      <x:c r="K88" s="132" t="n">
        <x:v>4.27</x:v>
      </x:c>
    </x:row>
    <x:row r="89">
      <x:c r="G89" s="132" t="n">
        <x:v>61</x:v>
      </x:c>
      <x:c r="H89" s="132" t="n">
        <x:v>5.644</x:v>
      </x:c>
      <x:c r="I89" s="132"/>
      <x:c r="J89" s="132" t="n">
        <x:v>25.69</x:v>
      </x:c>
      <x:c r="K89" s="132" t="n">
        <x:v>4.27</x:v>
      </x:c>
    </x:row>
    <x:row r="90">
      <x:c r="G90" s="132" t="n">
        <x:v>62</x:v>
      </x:c>
      <x:c r="H90" s="132" t="n">
        <x:v>5.558000000000001</x:v>
      </x:c>
      <x:c r="I90" s="132"/>
      <x:c r="J90" s="132" t="n">
        <x:v>25.69</x:v>
      </x:c>
      <x:c r="K90" s="132" t="n">
        <x:v>4.27</x:v>
      </x:c>
    </x:row>
    <x:row r="91">
      <x:c r="G91" s="132" t="n">
        <x:v>63</x:v>
      </x:c>
      <x:c r="H91" s="132" t="n">
        <x:v>5.472</x:v>
      </x:c>
      <x:c r="I91" s="132"/>
      <x:c r="J91" s="132" t="n">
        <x:v>25.69</x:v>
      </x:c>
      <x:c r="K91" s="132" t="n">
        <x:v>4.27</x:v>
      </x:c>
    </x:row>
    <x:row r="92">
      <x:c r="G92" s="132" t="n">
        <x:v>64</x:v>
      </x:c>
      <x:c r="H92" s="132" t="n">
        <x:v>5.386</x:v>
      </x:c>
      <x:c r="I92" s="132"/>
      <x:c r="J92" s="132" t="n">
        <x:v>25.69</x:v>
      </x:c>
      <x:c r="K92" s="132" t="n">
        <x:v>4.27</x:v>
      </x:c>
    </x:row>
    <x:row r="93">
      <x:c r="G93" s="132" t="n">
        <x:v>65</x:v>
      </x:c>
      <x:c r="H93" s="132" t="n">
        <x:v>5.300000000000001</x:v>
      </x:c>
      <x:c r="I93" s="132"/>
      <x:c r="J93" s="132" t="n">
        <x:v>25.69</x:v>
      </x:c>
      <x:c r="K93" s="132" t="n">
        <x:v>4.27</x:v>
      </x:c>
    </x:row>
    <x:row r="94">
      <x:c r="G94" s="132" t="n">
        <x:v>66</x:v>
      </x:c>
      <x:c r="H94" s="132" t="n">
        <x:v>5.214</x:v>
      </x:c>
      <x:c r="I94" s="132"/>
      <x:c r="J94" s="132" t="n">
        <x:v>25.69</x:v>
      </x:c>
      <x:c r="K94" s="132" t="n">
        <x:v>4.27</x:v>
      </x:c>
    </x:row>
    <x:row r="95">
      <x:c r="G95" s="132" t="n">
        <x:v>67</x:v>
      </x:c>
      <x:c r="H95" s="132" t="n">
        <x:v>5.128</x:v>
      </x:c>
      <x:c r="I95" s="132"/>
      <x:c r="J95" s="132" t="n">
        <x:v>25.69</x:v>
      </x:c>
      <x:c r="K95" s="132" t="n">
        <x:v>4.27</x:v>
      </x:c>
    </x:row>
    <x:row r="96">
      <x:c r="G96" s="132" t="n">
        <x:v>68</x:v>
      </x:c>
      <x:c r="H96" s="132" t="n">
        <x:v>5.042</x:v>
      </x:c>
      <x:c r="I96" s="132"/>
      <x:c r="J96" s="132" t="n">
        <x:v>25.69</x:v>
      </x:c>
      <x:c r="K96" s="132" t="n">
        <x:v>4.27</x:v>
      </x:c>
    </x:row>
    <x:row r="97">
      <x:c r="G97" s="132" t="n">
        <x:v>69</x:v>
      </x:c>
      <x:c r="H97" s="132" t="n">
        <x:v>4.956</x:v>
      </x:c>
      <x:c r="I97" s="132"/>
      <x:c r="J97" s="132" t="n">
        <x:v>25.69</x:v>
      </x:c>
      <x:c r="K97" s="132" t="n">
        <x:v>4.27</x:v>
      </x:c>
    </x:row>
    <x:row r="98">
      <x:c r="G98" s="132" t="n">
        <x:v>70</x:v>
      </x:c>
      <x:c r="H98" s="132" t="n">
        <x:v>4.87</x:v>
      </x:c>
      <x:c r="I98" s="132"/>
      <x:c r="J98" s="132" t="n">
        <x:v>25.69</x:v>
      </x:c>
      <x:c r="K98" s="132" t="n">
        <x:v>4.27</x:v>
      </x:c>
    </x:row>
    <x:row r="99">
      <x:c r="G99" s="132" t="n">
        <x:v>71</x:v>
      </x:c>
      <x:c r="H99" s="132" t="n">
        <x:v>4.83</x:v>
      </x:c>
      <x:c r="I99" s="132"/>
      <x:c r="J99" s="132" t="n">
        <x:v>25.69</x:v>
      </x:c>
      <x:c r="K99" s="132" t="n">
        <x:v>4.27</x:v>
      </x:c>
    </x:row>
    <x:row r="100">
      <x:c r="G100" s="132" t="n">
        <x:v>72</x:v>
      </x:c>
      <x:c r="H100" s="132" t="n">
        <x:v>4.79</x:v>
      </x:c>
      <x:c r="I100" s="132"/>
      <x:c r="J100" s="132" t="n">
        <x:v>25.69</x:v>
      </x:c>
      <x:c r="K100" s="132" t="n">
        <x:v>4.27</x:v>
      </x:c>
    </x:row>
    <x:row r="101">
      <x:c r="G101" s="132" t="n">
        <x:v>73</x:v>
      </x:c>
      <x:c r="H101" s="132" t="n">
        <x:v>4.75</x:v>
      </x:c>
      <x:c r="I101" s="132"/>
      <x:c r="J101" s="132" t="n">
        <x:v>25.69</x:v>
      </x:c>
      <x:c r="K101" s="132" t="n">
        <x:v>4.27</x:v>
      </x:c>
    </x:row>
    <x:row r="102">
      <x:c r="G102" s="132" t="n">
        <x:v>74</x:v>
      </x:c>
      <x:c r="H102" s="132" t="n">
        <x:v>4.71</x:v>
      </x:c>
      <x:c r="I102" s="132"/>
      <x:c r="J102" s="132" t="n">
        <x:v>25.69</x:v>
      </x:c>
      <x:c r="K102" s="132" t="n">
        <x:v>4.27</x:v>
      </x:c>
    </x:row>
    <x:row r="103">
      <x:c r="G103" s="132" t="n">
        <x:v>75</x:v>
      </x:c>
      <x:c r="H103" s="132" t="n">
        <x:v>4.67</x:v>
      </x:c>
      <x:c r="I103" s="132"/>
      <x:c r="J103" s="132" t="n">
        <x:v>25.69</x:v>
      </x:c>
      <x:c r="K103" s="132" t="n">
        <x:v>4.27</x:v>
      </x:c>
    </x:row>
    <x:row r="104">
      <x:c r="G104" s="132" t="n">
        <x:v>76</x:v>
      </x:c>
      <x:c r="H104" s="132" t="n">
        <x:v>4.63</x:v>
      </x:c>
      <x:c r="I104" s="132"/>
      <x:c r="J104" s="132" t="n">
        <x:v>25.69</x:v>
      </x:c>
      <x:c r="K104" s="132" t="n">
        <x:v>4.27</x:v>
      </x:c>
    </x:row>
    <x:row r="105">
      <x:c r="G105" s="132" t="n">
        <x:v>77</x:v>
      </x:c>
      <x:c r="H105" s="132" t="n">
        <x:v>4.59</x:v>
      </x:c>
      <x:c r="I105" s="132"/>
      <x:c r="J105" s="132" t="n">
        <x:v>25.69</x:v>
      </x:c>
      <x:c r="K105" s="132" t="n">
        <x:v>4.27</x:v>
      </x:c>
    </x:row>
    <x:row r="106">
      <x:c r="G106" s="132" t="n">
        <x:v>78</x:v>
      </x:c>
      <x:c r="H106" s="132" t="n">
        <x:v>4.55</x:v>
      </x:c>
      <x:c r="I106" s="132"/>
      <x:c r="J106" s="132" t="n">
        <x:v>25.69</x:v>
      </x:c>
      <x:c r="K106" s="132" t="n">
        <x:v>4.27</x:v>
      </x:c>
    </x:row>
    <x:row r="107">
      <x:c r="G107" s="132" t="n">
        <x:v>79</x:v>
      </x:c>
      <x:c r="H107" s="132" t="n">
        <x:v>4.51</x:v>
      </x:c>
      <x:c r="I107" s="132"/>
      <x:c r="J107" s="132" t="n">
        <x:v>25.69</x:v>
      </x:c>
      <x:c r="K107" s="132" t="n">
        <x:v>4.27</x:v>
      </x:c>
    </x:row>
    <x:row r="108">
      <x:c r="G108" s="132" t="n">
        <x:v>80</x:v>
      </x:c>
      <x:c r="H108" s="132" t="n">
        <x:v>4.47</x:v>
      </x:c>
      <x:c r="I108" s="132"/>
      <x:c r="J108" s="132" t="n">
        <x:v>25.69</x:v>
      </x:c>
      <x:c r="K108" s="132" t="n">
        <x:v>4.27</x:v>
      </x:c>
    </x:row>
    <x:row r="109">
      <x:c r="G109" s="132" t="n">
        <x:v>81</x:v>
      </x:c>
      <x:c r="H109" s="132" t="n">
        <x:v>4.449999999999999</x:v>
      </x:c>
      <x:c r="I109" s="132"/>
      <x:c r="J109" s="132" t="n">
        <x:v>25.69</x:v>
      </x:c>
      <x:c r="K109" s="132" t="n">
        <x:v>4.27</x:v>
      </x:c>
    </x:row>
    <x:row r="110">
      <x:c r="G110" s="132" t="n">
        <x:v>82</x:v>
      </x:c>
      <x:c r="H110" s="132" t="n">
        <x:v>4.43</x:v>
      </x:c>
      <x:c r="I110" s="132"/>
      <x:c r="J110" s="132" t="n">
        <x:v>25.69</x:v>
      </x:c>
      <x:c r="K110" s="132" t="n">
        <x:v>4.27</x:v>
      </x:c>
    </x:row>
    <x:row r="111">
      <x:c r="G111" s="132" t="n">
        <x:v>83</x:v>
      </x:c>
      <x:c r="H111" s="132" t="n">
        <x:v>4.41</x:v>
      </x:c>
      <x:c r="I111" s="132"/>
      <x:c r="J111" s="132" t="n">
        <x:v>25.69</x:v>
      </x:c>
      <x:c r="K111" s="132" t="n">
        <x:v>4.27</x:v>
      </x:c>
    </x:row>
    <x:row r="112">
      <x:c r="G112" s="132" t="n">
        <x:v>84</x:v>
      </x:c>
      <x:c r="H112" s="132" t="n">
        <x:v>4.39</x:v>
      </x:c>
      <x:c r="I112" s="132"/>
      <x:c r="J112" s="132" t="n">
        <x:v>25.69</x:v>
      </x:c>
      <x:c r="K112" s="132" t="n">
        <x:v>4.27</x:v>
      </x:c>
    </x:row>
    <x:row r="113">
      <x:c r="G113" s="132" t="n">
        <x:v>85</x:v>
      </x:c>
      <x:c r="H113" s="132" t="n">
        <x:v>4.369999999999999</x:v>
      </x:c>
      <x:c r="I113" s="132"/>
      <x:c r="J113" s="132" t="n">
        <x:v>25.69</x:v>
      </x:c>
      <x:c r="K113" s="132" t="n">
        <x:v>4.27</x:v>
      </x:c>
    </x:row>
    <x:row r="114">
      <x:c r="G114" s="132" t="n">
        <x:v>86</x:v>
      </x:c>
      <x:c r="H114" s="132" t="n">
        <x:v>4.35</x:v>
      </x:c>
      <x:c r="I114" s="132"/>
      <x:c r="J114" s="132" t="n">
        <x:v>25.69</x:v>
      </x:c>
      <x:c r="K114" s="132" t="n">
        <x:v>4.27</x:v>
      </x:c>
    </x:row>
    <x:row r="115">
      <x:c r="G115" s="132" t="n">
        <x:v>87</x:v>
      </x:c>
      <x:c r="H115" s="132" t="n">
        <x:v>4.33</x:v>
      </x:c>
      <x:c r="I115" s="132"/>
      <x:c r="J115" s="132" t="n">
        <x:v>25.69</x:v>
      </x:c>
      <x:c r="K115" s="132" t="n">
        <x:v>4.27</x:v>
      </x:c>
    </x:row>
    <x:row r="116">
      <x:c r="G116" s="132" t="n">
        <x:v>88</x:v>
      </x:c>
      <x:c r="H116" s="132" t="n">
        <x:v>4.31</x:v>
      </x:c>
      <x:c r="I116" s="132"/>
      <x:c r="J116" s="132" t="n">
        <x:v>25.69</x:v>
      </x:c>
      <x:c r="K116" s="132" t="n">
        <x:v>4.27</x:v>
      </x:c>
    </x:row>
    <x:row r="117">
      <x:c r="G117" s="132" t="n">
        <x:v>89</x:v>
      </x:c>
      <x:c r="H117" s="132" t="n">
        <x:v>4.289999999999999</x:v>
      </x:c>
      <x:c r="I117" s="132"/>
      <x:c r="J117" s="132" t="n">
        <x:v>25.69</x:v>
      </x:c>
      <x:c r="K117" s="132" t="n">
        <x:v>4.27</x:v>
      </x:c>
    </x:row>
    <x:row r="118">
      <x:c r="G118" s="132" t="n">
        <x:v>90</x:v>
      </x:c>
      <x:c r="H118" s="132" t="n">
        <x:v>4.27</x:v>
      </x:c>
      <x:c r="I118" s="132"/>
      <x:c r="J118" s="132" t="n">
        <x:v>25.69</x:v>
      </x:c>
      <x:c r="K118" s="132" t="n">
        <x:v>4.27</x:v>
      </x:c>
    </x:row>
    <x:row r="119">
      <x:c r="G119" s="132" t="n">
        <x:v>91</x:v>
      </x:c>
      <x:c r="H119" s="132" t="n">
        <x:v>4.27</x:v>
      </x:c>
      <x:c r="I119" s="132"/>
      <x:c r="J119" s="132" t="n">
        <x:v>25.69</x:v>
      </x:c>
      <x:c r="K119" s="132" t="n">
        <x:v>4.27</x:v>
      </x:c>
    </x:row>
    <x:row r="120">
      <x:c r="G120" s="132" t="n">
        <x:v>92</x:v>
      </x:c>
      <x:c r="H120" s="132" t="n">
        <x:v>4.27</x:v>
      </x:c>
      <x:c r="I120" s="132"/>
      <x:c r="J120" s="132" t="n">
        <x:v>25.69</x:v>
      </x:c>
      <x:c r="K120" s="132" t="n">
        <x:v>4.27</x:v>
      </x:c>
    </x:row>
    <x:row r="121">
      <x:c r="G121" s="132" t="n">
        <x:v>93</x:v>
      </x:c>
      <x:c r="H121" s="132" t="n">
        <x:v>4.27</x:v>
      </x:c>
      <x:c r="I121" s="132"/>
      <x:c r="J121" s="132" t="n">
        <x:v>25.69</x:v>
      </x:c>
      <x:c r="K121" s="132" t="n">
        <x:v>4.27</x:v>
      </x:c>
    </x:row>
    <x:row r="122">
      <x:c r="G122" s="132" t="n">
        <x:v>94</x:v>
      </x:c>
      <x:c r="H122" s="132" t="n">
        <x:v>4.27</x:v>
      </x:c>
      <x:c r="I122" s="132"/>
      <x:c r="J122" s="132" t="n">
        <x:v>25.69</x:v>
      </x:c>
      <x:c r="K122" s="132" t="n">
        <x:v>4.27</x:v>
      </x:c>
    </x:row>
    <x:row r="123">
      <x:c r="G123" s="132" t="n">
        <x:v>95</x:v>
      </x:c>
      <x:c r="H123" s="132" t="n">
        <x:v>4.27</x:v>
      </x:c>
      <x:c r="I123" s="132"/>
      <x:c r="J123" s="132" t="n">
        <x:v>25.69</x:v>
      </x:c>
      <x:c r="K123" s="132" t="n">
        <x:v>4.27</x:v>
      </x:c>
    </x:row>
    <x:row r="124">
      <x:c r="G124" s="132" t="n">
        <x:v>96</x:v>
      </x:c>
      <x:c r="H124" s="132" t="n">
        <x:v>4.27</x:v>
      </x:c>
      <x:c r="I124" s="132"/>
      <x:c r="J124" s="132" t="n">
        <x:v>25.69</x:v>
      </x:c>
      <x:c r="K124" s="132" t="n">
        <x:v>4.27</x:v>
      </x:c>
    </x:row>
    <x:row r="125">
      <x:c r="G125" s="132" t="n">
        <x:v>97</x:v>
      </x:c>
      <x:c r="H125" s="132" t="n">
        <x:v>4.27</x:v>
      </x:c>
      <x:c r="I125" s="132"/>
      <x:c r="J125" s="132" t="n">
        <x:v>25.69</x:v>
      </x:c>
      <x:c r="K125" s="132" t="n">
        <x:v>4.27</x:v>
      </x:c>
    </x:row>
    <x:row r="126">
      <x:c r="G126" s="132" t="n">
        <x:v>98</x:v>
      </x:c>
      <x:c r="H126" s="132" t="n">
        <x:v>4.27</x:v>
      </x:c>
      <x:c r="I126" s="132"/>
      <x:c r="J126" s="132" t="n">
        <x:v>25.69</x:v>
      </x:c>
      <x:c r="K126" s="132" t="n">
        <x:v>4.27</x:v>
      </x:c>
    </x:row>
    <x:row r="127">
      <x:c r="G127" s="132" t="n">
        <x:v>99</x:v>
      </x:c>
      <x:c r="H127" s="132" t="n">
        <x:v>4.27</x:v>
      </x:c>
      <x:c r="I127" s="132"/>
      <x:c r="J127" s="132" t="n">
        <x:v>25.69</x:v>
      </x:c>
      <x:c r="K127" s="132" t="n">
        <x:v>4.27</x:v>
      </x:c>
    </x:row>
    <x:row r="128">
      <x:c r="G128" s="132" t="n">
        <x:v>100</x:v>
      </x:c>
      <x:c r="H128" s="132" t="n">
        <x:v>4.27</x:v>
      </x:c>
      <x:c r="I128" s="132"/>
      <x:c r="J128" s="132" t="n">
        <x:v>25.69</x:v>
      </x:c>
      <x:c r="K128" s="132" t="n">
        <x:v>4.27</x:v>
      </x:c>
    </x:row>
    <x:row r="129">
      <x:c r="G129" s="132" t="n">
        <x:v>101</x:v>
      </x:c>
      <x:c r="H129" s="132" t="n">
        <x:v>4.27</x:v>
      </x:c>
      <x:c r="I129" s="132"/>
      <x:c r="J129" s="132" t="n">
        <x:v>25.69</x:v>
      </x:c>
      <x:c r="K129" s="132" t="n">
        <x:v>4.27</x:v>
      </x:c>
    </x:row>
    <x:row r="130">
      <x:c r="G130" s="132" t="n">
        <x:v>102</x:v>
      </x:c>
      <x:c r="H130" s="132" t="n">
        <x:v>4.27</x:v>
      </x:c>
      <x:c r="I130" s="132"/>
      <x:c r="J130" s="132" t="n">
        <x:v>25.69</x:v>
      </x:c>
      <x:c r="K130" s="132" t="n">
        <x:v>4.27</x:v>
      </x:c>
    </x:row>
    <x:row r="131">
      <x:c r="G131" s="132" t="n">
        <x:v>103</x:v>
      </x:c>
      <x:c r="H131" s="132" t="n">
        <x:v>4.27</x:v>
      </x:c>
      <x:c r="I131" s="132"/>
      <x:c r="J131" s="132" t="n">
        <x:v>25.69</x:v>
      </x:c>
      <x:c r="K131" s="132" t="n">
        <x:v>4.27</x:v>
      </x:c>
    </x:row>
    <x:row r="132">
      <x:c r="G132" s="132" t="n">
        <x:v>104</x:v>
      </x:c>
      <x:c r="H132" s="132" t="n">
        <x:v>4.27</x:v>
      </x:c>
      <x:c r="I132" s="132"/>
      <x:c r="J132" s="132" t="n">
        <x:v>25.69</x:v>
      </x:c>
      <x:c r="K132" s="132" t="n">
        <x:v>4.27</x:v>
      </x:c>
    </x:row>
    <x:row r="133">
      <x:c r="G133" s="132" t="n">
        <x:v>105</x:v>
      </x:c>
      <x:c r="H133" s="132" t="n">
        <x:v>4.27</x:v>
      </x:c>
      <x:c r="I133" s="132"/>
      <x:c r="J133" s="132" t="n">
        <x:v>25.69</x:v>
      </x:c>
      <x:c r="K133" s="132" t="n">
        <x:v>4.27</x:v>
      </x:c>
    </x:row>
    <x:row r="134">
      <x:c r="G134" s="132" t="n">
        <x:v>106</x:v>
      </x:c>
      <x:c r="H134" s="132" t="n">
        <x:v>4.27</x:v>
      </x:c>
      <x:c r="I134" s="132"/>
      <x:c r="J134" s="132" t="n">
        <x:v>25.69</x:v>
      </x:c>
      <x:c r="K134" s="132" t="n">
        <x:v>4.27</x:v>
      </x:c>
    </x:row>
    <x:row r="135">
      <x:c r="G135" s="132" t="n">
        <x:v>107</x:v>
      </x:c>
      <x:c r="H135" s="132" t="n">
        <x:v>4.27</x:v>
      </x:c>
      <x:c r="I135" s="132"/>
      <x:c r="J135" s="132" t="n">
        <x:v>25.69</x:v>
      </x:c>
      <x:c r="K135" s="132" t="n">
        <x:v>4.27</x:v>
      </x:c>
    </x:row>
    <x:row r="136">
      <x:c r="G136" s="132" t="n">
        <x:v>108</x:v>
      </x:c>
      <x:c r="H136" s="132" t="n">
        <x:v>4.27</x:v>
      </x:c>
      <x:c r="I136" s="132"/>
      <x:c r="J136" s="132" t="n">
        <x:v>25.69</x:v>
      </x:c>
      <x:c r="K136" s="132" t="n">
        <x:v>4.27</x:v>
      </x:c>
    </x:row>
    <x:row r="137">
      <x:c r="G137" s="132" t="n">
        <x:v>109</x:v>
      </x:c>
      <x:c r="H137" s="132" t="n">
        <x:v>4.27</x:v>
      </x:c>
      <x:c r="I137" s="132"/>
      <x:c r="J137" s="132" t="n">
        <x:v>25.69</x:v>
      </x:c>
      <x:c r="K137" s="132" t="n">
        <x:v>4.27</x:v>
      </x:c>
    </x:row>
    <x:row r="138">
      <x:c r="G138" s="132" t="n">
        <x:v>110</x:v>
      </x:c>
      <x:c r="H138" s="132" t="n">
        <x:v>4.27</x:v>
      </x:c>
      <x:c r="I138" s="132"/>
      <x:c r="J138" s="132" t="n">
        <x:v>25.69</x:v>
      </x:c>
      <x:c r="K138" s="132" t="n">
        <x:v>4.27</x:v>
      </x:c>
    </x:row>
    <x:row r="139">
      <x:c r="G139" s="132" t="n">
        <x:v>111</x:v>
      </x:c>
      <x:c r="H139" s="132" t="n">
        <x:v>4.27</x:v>
      </x:c>
      <x:c r="I139" s="132"/>
      <x:c r="J139" s="132" t="n">
        <x:v>25.69</x:v>
      </x:c>
      <x:c r="K139" s="132" t="n">
        <x:v>4.27</x:v>
      </x:c>
    </x:row>
    <x:row r="140">
      <x:c r="G140" s="132" t="n">
        <x:v>112</x:v>
      </x:c>
      <x:c r="H140" s="132" t="n">
        <x:v>4.27</x:v>
      </x:c>
      <x:c r="I140" s="132"/>
      <x:c r="J140" s="132" t="n">
        <x:v>25.69</x:v>
      </x:c>
      <x:c r="K140" s="132" t="n">
        <x:v>4.27</x:v>
      </x:c>
    </x:row>
    <x:row r="141">
      <x:c r="G141" s="132" t="n">
        <x:v>113</x:v>
      </x:c>
      <x:c r="H141" s="132" t="n">
        <x:v>4.27</x:v>
      </x:c>
      <x:c r="I141" s="132"/>
      <x:c r="J141" s="132" t="n">
        <x:v>25.69</x:v>
      </x:c>
      <x:c r="K141" s="132" t="n">
        <x:v>4.27</x:v>
      </x:c>
    </x:row>
    <x:row r="142">
      <x:c r="G142" s="132" t="n">
        <x:v>114</x:v>
      </x:c>
      <x:c r="H142" s="132" t="n">
        <x:v>4.27</x:v>
      </x:c>
      <x:c r="I142" s="132"/>
      <x:c r="J142" s="132" t="n">
        <x:v>25.69</x:v>
      </x:c>
      <x:c r="K142" s="132" t="n">
        <x:v>4.27</x:v>
      </x:c>
    </x:row>
    <x:row r="143">
      <x:c r="G143" s="132" t="n">
        <x:v>115</x:v>
      </x:c>
      <x:c r="H143" s="132" t="n">
        <x:v>4.27</x:v>
      </x:c>
      <x:c r="I143" s="132"/>
      <x:c r="J143" s="132" t="n">
        <x:v>25.69</x:v>
      </x:c>
      <x:c r="K143" s="132" t="n">
        <x:v>4.27</x:v>
      </x:c>
    </x:row>
    <x:row r="144">
      <x:c r="G144" s="132" t="n">
        <x:v>116</x:v>
      </x:c>
      <x:c r="H144" s="132" t="n">
        <x:v>4.27</x:v>
      </x:c>
      <x:c r="I144" s="132"/>
      <x:c r="J144" s="132" t="n">
        <x:v>25.69</x:v>
      </x:c>
      <x:c r="K144" s="132" t="n">
        <x:v>4.27</x:v>
      </x:c>
    </x:row>
    <x:row r="145">
      <x:c r="G145" s="132" t="n">
        <x:v>117</x:v>
      </x:c>
      <x:c r="H145" s="132" t="n">
        <x:v>4.27</x:v>
      </x:c>
      <x:c r="I145" s="132"/>
      <x:c r="J145" s="132" t="n">
        <x:v>25.69</x:v>
      </x:c>
      <x:c r="K145" s="132" t="n">
        <x:v>4.27</x:v>
      </x:c>
    </x:row>
    <x:row r="146">
      <x:c r="G146" s="132" t="n">
        <x:v>118</x:v>
      </x:c>
      <x:c r="H146" s="132" t="n">
        <x:v>4.27</x:v>
      </x:c>
      <x:c r="I146" s="132"/>
      <x:c r="J146" s="132" t="n">
        <x:v>25.69</x:v>
      </x:c>
      <x:c r="K146" s="132" t="n">
        <x:v>4.27</x:v>
      </x:c>
    </x:row>
    <x:row r="147">
      <x:c r="G147" s="132" t="n">
        <x:v>119</x:v>
      </x:c>
      <x:c r="H147" s="132" t="n">
        <x:v>4.27</x:v>
      </x:c>
      <x:c r="I147" s="132"/>
      <x:c r="J147" s="132" t="n">
        <x:v>25.69</x:v>
      </x:c>
      <x:c r="K147" s="132" t="n">
        <x:v>4.27</x:v>
      </x:c>
    </x:row>
    <x:row r="148">
      <x:c r="G148" s="132" t="n">
        <x:v>120</x:v>
      </x:c>
      <x:c r="H148" s="132" t="n">
        <x:v>4.27</x:v>
      </x:c>
      <x:c r="I148" s="132"/>
      <x:c r="J148" s="132" t="n">
        <x:v>25.69</x:v>
      </x:c>
      <x:c r="K148" s="132" t="n">
        <x:v>4.27</x:v>
      </x:c>
    </x:row>
  </x:sheetData>
  <x:mergeCells>
    <x:mergeCell ref="A1:H1"/>
    <x:mergeCell ref="A2:H2"/>
    <x:mergeCell ref="F4:K4"/>
    <x:mergeCell ref="F5:K5"/>
    <x:mergeCell ref="F6:K6"/>
    <x:mergeCell ref="F7:K7"/>
    <x:mergeCell ref="F8:K8"/>
    <x:mergeCell ref="F9:K9"/>
  </x:mergeCells>
  <x:pageMargins left="0.7" right="0.7" top="0.75" bottom="0.75" header="0.3" footer="0.3"/>
  <x:drawing xmlns:r="http://schemas.openxmlformats.org/officeDocument/2006/relationships" r:id="R13e047561ab94a3f"/>
</x:worksheet>
</file>